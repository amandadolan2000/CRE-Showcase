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T12 NOI" sheetId="3" state="visible" r:id="rId5"/>
    <sheet name="10-Yr DCF" sheetId="4" state="visible" r:id="rId6"/>
    <sheet name="Direct Cap" sheetId="5" state="visible" r:id="rId7"/>
    <sheet name="Sensitivit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<sst xmlns="http://schemas.openxmlformats.org/spreadsheetml/2006/main" count="253" uniqueCount="223">
  <si>
    <t xml:space="preserve">CBRE</t>
  </si>
  <si>
    <t xml:space="preserve">Capital Markets  |  Investment Properties</t>
  </si>
  <si>
    <t xml:space="preserve">ACQUISITION PRO FORMA — CONFIDENTIAL</t>
  </si>
  <si>
    <t xml:space="preserve">Village Green Apartments  |  40 Alexander Street, Toronto, ON</t>
  </si>
  <si>
    <t xml:space="preserve">705 Units  |  Three-Tower Rental Complex  |  Old Toronto  |  Acquired Q3 2024 — $264.4M</t>
  </si>
  <si>
    <t xml:space="preserve">PROPERTY SUMMARY</t>
  </si>
  <si>
    <t xml:space="preserve">Address</t>
  </si>
  <si>
    <t xml:space="preserve">40 Alexander Street, Toronto, ON M4Y 1B4</t>
  </si>
  <si>
    <t xml:space="preserve">Property Type</t>
  </si>
  <si>
    <t xml:space="preserve">Multi-Residential — Purpose-Built Rental</t>
  </si>
  <si>
    <t xml:space="preserve">Asset Class</t>
  </si>
  <si>
    <t xml:space="preserve">Mid-Rise Apartment Complex (3 Towers)</t>
  </si>
  <si>
    <t xml:space="preserve">Total Units</t>
  </si>
  <si>
    <t xml:space="preserve">705</t>
  </si>
  <si>
    <t xml:space="preserve">Year Built</t>
  </si>
  <si>
    <t xml:space="preserve">1970 (Renovated 2019–2023)</t>
  </si>
  <si>
    <t xml:space="preserve">Total GFA</t>
  </si>
  <si>
    <t xml:space="preserve">~612,000 SF</t>
  </si>
  <si>
    <t xml:space="preserve">Submarket</t>
  </si>
  <si>
    <t xml:space="preserve">Old Toronto / Jarvis Corridor</t>
  </si>
  <si>
    <t xml:space="preserve">TRANSACTION SUMMARY</t>
  </si>
  <si>
    <t xml:space="preserve">Purchaser</t>
  </si>
  <si>
    <t xml:space="preserve">Brookfield Properties</t>
  </si>
  <si>
    <t xml:space="preserve">Vendor</t>
  </si>
  <si>
    <t xml:space="preserve">Greenrock Property Management</t>
  </si>
  <si>
    <t xml:space="preserve">Transaction Date</t>
  </si>
  <si>
    <t xml:space="preserve">Q3 2024</t>
  </si>
  <si>
    <t xml:space="preserve">Purchase Price</t>
  </si>
  <si>
    <t xml:space="preserve">$264,400,000</t>
  </si>
  <si>
    <t xml:space="preserve">Price Per Unit</t>
  </si>
  <si>
    <t xml:space="preserve">~$374,894</t>
  </si>
  <si>
    <t xml:space="preserve">Going-In Cap Rate</t>
  </si>
  <si>
    <t xml:space="preserve">~4.50%</t>
  </si>
  <si>
    <t xml:space="preserve">PREPARED BY</t>
  </si>
  <si>
    <t xml:space="preserve">Analyst</t>
  </si>
  <si>
    <t xml:space="preserve">Amanda Dolan</t>
  </si>
  <si>
    <t xml:space="preserve">Team</t>
  </si>
  <si>
    <t xml:space="preserve">CBRE Capital Markets — National Investment Team</t>
  </si>
  <si>
    <t xml:space="preserve">Date</t>
  </si>
  <si>
    <t xml:space="preserve">March 2026</t>
  </si>
  <si>
    <t xml:space="preserve">Classification</t>
  </si>
  <si>
    <t xml:space="preserve">STRICTLY PRIVATE &amp; CONFIDENTIAL</t>
  </si>
  <si>
    <t xml:space="preserve">This analysis has been prepared by CBRE Capital Markets for informational purposes only. All figures are estimates based on publicly available data and market assumptions. This document does not constitute investment advice.</t>
  </si>
  <si>
    <t xml:space="preserve">MODEL ASSUMPTIONS</t>
  </si>
  <si>
    <t xml:space="preserve">PROPERTY</t>
  </si>
  <si>
    <t xml:space="preserve">  Purchase Price</t>
  </si>
  <si>
    <t xml:space="preserve">Altus Group, Canada Top-15 CRE Transactions 2024</t>
  </si>
  <si>
    <t xml:space="preserve">  Total Units</t>
  </si>
  <si>
    <t xml:space="preserve">Altus Group Q3 2024 Toronto CRE Market Update</t>
  </si>
  <si>
    <t xml:space="preserve">  Average Unit Size (SF)</t>
  </si>
  <si>
    <t xml:space="preserve">Estimated: ~612,000 SF GFA / 705 units</t>
  </si>
  <si>
    <t xml:space="preserve">REVENUE</t>
  </si>
  <si>
    <t xml:space="preserve">  Going-In Occupancy (Yr 1)</t>
  </si>
  <si>
    <t xml:space="preserve">Stabilised asset; Toronto PBR vacancy ~2.5% (CBRE 2024)</t>
  </si>
  <si>
    <t xml:space="preserve">  Stabilised Occupancy (Yr 2+)</t>
  </si>
  <si>
    <t xml:space="preserve">CBRE Toronto multifamily 2.5% vacancy</t>
  </si>
  <si>
    <t xml:space="preserve">  Avg Monthly Rent Per Unit — Yr 1 ($)</t>
  </si>
  <si>
    <t xml:space="preserve">Market rate: Old Toronto corridor, 2024</t>
  </si>
  <si>
    <t xml:space="preserve">  Annual Rent Growth — Yrs 1–5</t>
  </si>
  <si>
    <t xml:space="preserve">CBRE forecast: tight supply supports growth</t>
  </si>
  <si>
    <t xml:space="preserve">  Annual Rent Growth — Yrs 6–10</t>
  </si>
  <si>
    <t xml:space="preserve">Long-run normalised growth</t>
  </si>
  <si>
    <t xml:space="preserve">  Other Income Per Unit Per Year ($)</t>
  </si>
  <si>
    <t xml:space="preserve">Parking, laundry, storage</t>
  </si>
  <si>
    <t xml:space="preserve">  Other Income Growth Rate</t>
  </si>
  <si>
    <t xml:space="preserve">Conservative</t>
  </si>
  <si>
    <t xml:space="preserve">OPERATING EXPENSES</t>
  </si>
  <si>
    <t xml:space="preserve">  Property Tax ($/unit/yr)</t>
  </si>
  <si>
    <t xml:space="preserve">Toronto avg mid-rise rental (2024)</t>
  </si>
  <si>
    <t xml:space="preserve">  Insurance ($/unit/yr)</t>
  </si>
  <si>
    <t xml:space="preserve">Market rate</t>
  </si>
  <si>
    <t xml:space="preserve">  Property Mgmt Fee (% of EGI)</t>
  </si>
  <si>
    <t xml:space="preserve">Standard institutional fee</t>
  </si>
  <si>
    <t xml:space="preserve">  Repairs &amp; Maintenance ($/unit/yr)</t>
  </si>
  <si>
    <t xml:space="preserve">Based on Greenrock $18.3M CapEx over hold period</t>
  </si>
  <si>
    <t xml:space="preserve">  Utilities — Common Area ($/unit/yr)</t>
  </si>
  <si>
    <t xml:space="preserve">Estimated for 3-tower complex</t>
  </si>
  <si>
    <t xml:space="preserve">  Admin &amp; Other ($/unit/yr)</t>
  </si>
  <si>
    <t xml:space="preserve">Estimated</t>
  </si>
  <si>
    <t xml:space="preserve">  Expense Growth Rate (annual)</t>
  </si>
  <si>
    <t xml:space="preserve">CPI-linked; CBRE standard</t>
  </si>
  <si>
    <t xml:space="preserve">  Capital Reserves ($/unit/yr)</t>
  </si>
  <si>
    <t xml:space="preserve">Institutional standard; not deducted from NOI</t>
  </si>
  <si>
    <t xml:space="preserve">FINANCING</t>
  </si>
  <si>
    <t xml:space="preserve">  Loan-to-Value (LTV)</t>
  </si>
  <si>
    <t xml:space="preserve">Conventional; CMHC MLI Select up to 95%</t>
  </si>
  <si>
    <t xml:space="preserve">  Interest Rate (annual)</t>
  </si>
  <si>
    <t xml:space="preserve">5-yr CMHC insured rate, 2024</t>
  </si>
  <si>
    <t xml:space="preserve">  Amortization Period (years)</t>
  </si>
  <si>
    <t xml:space="preserve">CMHC standard</t>
  </si>
  <si>
    <t xml:space="preserve">  Loan Term (years)</t>
  </si>
  <si>
    <t xml:space="preserve">Matches hold period</t>
  </si>
  <si>
    <t xml:space="preserve">EXIT &amp; DISCOUNT RATE</t>
  </si>
  <si>
    <t xml:space="preserve">  Hold Period (years)</t>
  </si>
  <si>
    <t xml:space="preserve">Standard institutional hold period</t>
  </si>
  <si>
    <t xml:space="preserve">  Exit Cap Rate</t>
  </si>
  <si>
    <t xml:space="preserve">25 bps expansion from going-in (4.50%)</t>
  </si>
  <si>
    <t xml:space="preserve">  Disposition Costs (% of gross exit value)</t>
  </si>
  <si>
    <t xml:space="preserve">Brokerage + legal</t>
  </si>
  <si>
    <t xml:space="preserve">  Discount Rate — Unlevered IRR target</t>
  </si>
  <si>
    <t xml:space="preserve">CBRE cap rate + risk premium over GoC 10-yr</t>
  </si>
  <si>
    <t xml:space="preserve">TRAILING TWELVE MONTHS (T12) NOI ANALYSIS</t>
  </si>
  <si>
    <t xml:space="preserve">Village Green Apartments  |  Period: Oct 2023 – Sep 2024  |  705 Units</t>
  </si>
  <si>
    <t xml:space="preserve">LINE ITEM</t>
  </si>
  <si>
    <t xml:space="preserve">T12 ACTUAL ($)</t>
  </si>
  <si>
    <t xml:space="preserve">$/UNIT/YR</t>
  </si>
  <si>
    <t xml:space="preserve">NOTES</t>
  </si>
  <si>
    <t xml:space="preserve">  Gross Potential Rent (GPR)</t>
  </si>
  <si>
    <t xml:space="preserve">705 units × $2,150 avg rent × 12 months</t>
  </si>
  <si>
    <t xml:space="preserve">  Less: Vacancy &amp; Credit Loss</t>
  </si>
  <si>
    <t xml:space="preserve">3.5% of GPR; slight concessions on turnover units</t>
  </si>
  <si>
    <t xml:space="preserve">  Other Income (parking, laundry, storage)</t>
  </si>
  <si>
    <t xml:space="preserve">$480/unit/yr</t>
  </si>
  <si>
    <t xml:space="preserve">EFFECTIVE GROSS INCOME (EGI)</t>
  </si>
  <si>
    <t xml:space="preserve">  Property Tax</t>
  </si>
  <si>
    <t xml:space="preserve">$2,800/unit (Toronto mid-rise avg)</t>
  </si>
  <si>
    <t xml:space="preserve">  Insurance</t>
  </si>
  <si>
    <t xml:space="preserve">$380/unit</t>
  </si>
  <si>
    <t xml:space="preserve">  Property Management (4.0% of EGI)</t>
  </si>
  <si>
    <t xml:space="preserve">% of EGI</t>
  </si>
  <si>
    <t xml:space="preserve">  Repairs &amp; Maintenance</t>
  </si>
  <si>
    <t xml:space="preserve">$950/unit — reflects $18.3M CapEx during hold</t>
  </si>
  <si>
    <t xml:space="preserve">  Utilities — Common Area</t>
  </si>
  <si>
    <t xml:space="preserve">$720/unit</t>
  </si>
  <si>
    <t xml:space="preserve">  Admin &amp; Other</t>
  </si>
  <si>
    <t xml:space="preserve">$420/unit</t>
  </si>
  <si>
    <t xml:space="preserve">TOTAL OPERATING EXPENSES</t>
  </si>
  <si>
    <t xml:space="preserve">NET OPERATING INCOME (NOI)</t>
  </si>
  <si>
    <t xml:space="preserve">  Capital Reserves (not deducted from NOI)</t>
  </si>
  <si>
    <t xml:space="preserve">$400/unit; shown separately per institutional convention</t>
  </si>
  <si>
    <t xml:space="preserve">NOI AFTER RESERVES</t>
  </si>
  <si>
    <t xml:space="preserve">KEY METRICS</t>
  </si>
  <si>
    <t xml:space="preserve">  T12 NOI</t>
  </si>
  <si>
    <t xml:space="preserve">  NOI Per Unit ($/yr)</t>
  </si>
  <si>
    <t xml:space="preserve">  Going-In Cap Rate (T12 NOI / Purchase Price)</t>
  </si>
  <si>
    <t xml:space="preserve">  Expense Ratio (Total OpEx / EGI)</t>
  </si>
  <si>
    <t xml:space="preserve">  NOI Margin (NOI / EGI)</t>
  </si>
  <si>
    <t xml:space="preserve">10-YEAR DISCOUNTED CASH FLOW MODEL</t>
  </si>
  <si>
    <t xml:space="preserve">Village Green Apartments — 40 Alexander Street, Toronto  |  Acquisition: Q3 2024  |  Hold: 10 Years</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</si>
  <si>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</si>
  <si>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</si>
  <si>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</si>
  <si>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</si>
  <si>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</si>
  <si>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</si>
  <si>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</si>
  <si>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</si>
  <si>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</si>
  <si>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</si>
  <si>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EXIT</t>
  </si>
  <si>
    <t xml:space="preserve">Calendar Year</t>
  </si>
  <si>
    <t xml:space="preserve">  Gross Potential Rent</t>
  </si>
  <si>
    <t xml:space="preserve">  Other Income</t>
  </si>
  <si>
    <t xml:space="preserve">  Property Management (4.0% EGI)</t>
  </si>
  <si>
    <t xml:space="preserve">  Capital Reserves</t>
  </si>
  <si>
    <t xml:space="preserve">DEBT SERVICE (LEVERED ANALYSIS)</t>
  </si>
  <si>
    <t xml:space="preserve">  Loan Amount (at acquisition)</t>
  </si>
  <si>
    <t xml:space="preserve">  Annual Debt Service (PMT)</t>
  </si>
  <si>
    <t xml:space="preserve">LEVERED CASH FLOW (NOI less Debt Service)</t>
  </si>
  <si>
    <t xml:space="preserve">EXIT VALUATION — YEAR 10</t>
  </si>
  <si>
    <t xml:space="preserve">  Exit NOI (Year 11 = Yr 10 NOI × LT growth)</t>
  </si>
  <si>
    <t xml:space="preserve">  Gross Exit Value (Exit NOI ÷ Exit Cap Rate)</t>
  </si>
  <si>
    <t xml:space="preserve">  Less: Disposition Costs</t>
  </si>
  <si>
    <t xml:space="preserve">  Less: Remaining Loan Balance</t>
  </si>
  <si>
    <t xml:space="preserve">NET SALE PROCEEDS (LEVERED)</t>
  </si>
  <si>
    <t xml:space="preserve">INVESTMENT RETURNS SUMMARY</t>
  </si>
  <si>
    <t xml:space="preserve">  Equity Invested (Purchase Price less Loan)</t>
  </si>
  <si>
    <t xml:space="preserve">  Unlevered IRR</t>
  </si>
  <si>
    <t xml:space="preserve">  Levered IRR</t>
  </si>
  <si>
    <t xml:space="preserve">  Equity Multiple (Levered)</t>
  </si>
  <si>
    <t xml:space="preserve">  Going-In Cap Rate</t>
  </si>
  <si>
    <t xml:space="preserve">HELPER: Unlevered CFs (do not edit)</t>
  </si>
  <si>
    <t xml:space="preserve">HELPER: Levered CFs (do not edit)</t>
  </si>
  <si>
    <t xml:space="preserve">DIRECT CAPITALIZATION VALUATION</t>
  </si>
  <si>
    <t xml:space="preserve">Village Green Apartments  |  Value = NOI ÷ Cap Rate</t>
  </si>
  <si>
    <t xml:space="preserve">YEAR 1 (GOING-IN)</t>
  </si>
  <si>
    <t xml:space="preserve">YEAR 3 (STABILISED)</t>
  </si>
  <si>
    <t xml:space="preserve">  Less: Vacancy</t>
  </si>
  <si>
    <t xml:space="preserve">EFFECTIVE GROSS INCOME</t>
  </si>
  <si>
    <t xml:space="preserve">  Total Operating Expenses</t>
  </si>
  <si>
    <t xml:space="preserve">CAPITALISATION</t>
  </si>
  <si>
    <t xml:space="preserve">  Applied Cap Rate</t>
  </si>
  <si>
    <t xml:space="preserve">INDICATED VALUE</t>
  </si>
  <si>
    <t xml:space="preserve">  Value Per Unit</t>
  </si>
  <si>
    <t xml:space="preserve">ACQUISITION METRICS</t>
  </si>
  <si>
    <t xml:space="preserve">  Actual Purchase Price</t>
  </si>
  <si>
    <t xml:space="preserve">  Actual Price Per Unit</t>
  </si>
  <si>
    <t xml:space="preserve">  Premium / (Discount) to Going-In Value</t>
  </si>
  <si>
    <t xml:space="preserve">SENSITIVITY ANALYSIS</t>
  </si>
  <si>
    <t xml:space="preserve">Village Green Apartments — Three scenario matrices analysing value and returns</t>
  </si>
  <si>
    <t xml:space="preserve">TABLE 1: INDICATED VALUE ($M) — NOI SCENARIO vs. CAP RATE</t>
  </si>
  <si>
    <t xml:space="preserve">NOI \ Cap Rate →</t>
  </si>
  <si>
    <t xml:space="preserve">3.75%</t>
  </si>
  <si>
    <t xml:space="preserve">4.00%</t>
  </si>
  <si>
    <t xml:space="preserve">4.25%</t>
  </si>
  <si>
    <t xml:space="preserve">4.50%</t>
  </si>
  <si>
    <t xml:space="preserve">4.75%</t>
  </si>
  <si>
    <t xml:space="preserve">5.00%</t>
  </si>
  <si>
    <t xml:space="preserve">5.25%</t>
  </si>
  <si>
    <t xml:space="preserve">90% of Base NOI</t>
  </si>
  <si>
    <t xml:space="preserve">95% of Base NOI</t>
  </si>
  <si>
    <t xml:space="preserve">100% of Base NOI</t>
  </si>
  <si>
    <t xml:space="preserve">105% of Base NOI</t>
  </si>
  <si>
    <t xml:space="preserve">110% of Base NOI</t>
  </si>
  <si>
    <t xml:space="preserve">TABLE 2: GOING-IN CAP RATE — NOI SCENARIO vs. PURCHASE PRICE</t>
  </si>
  <si>
    <t xml:space="preserve">NOI \ Price →</t>
  </si>
  <si>
    <t xml:space="preserve">$240M</t>
  </si>
  <si>
    <t xml:space="preserve">$250M</t>
  </si>
  <si>
    <t xml:space="preserve">$264M</t>
  </si>
  <si>
    <t xml:space="preserve">$275M</t>
  </si>
  <si>
    <t xml:space="preserve">$285M</t>
  </si>
  <si>
    <t xml:space="preserve">$295M</t>
  </si>
  <si>
    <t xml:space="preserve">$310M</t>
  </si>
  <si>
    <t xml:space="preserve">TABLE 3: EXIT VALUE ($M) — RENT GROWTH (YRS 1–5) vs. EXIT CAP RATE</t>
  </si>
  <si>
    <t xml:space="preserve">Rent Growth \ Exit Cap →</t>
  </si>
  <si>
    <t xml:space="preserve">5.50%</t>
  </si>
  <si>
    <t xml:space="preserve">5.75%</t>
  </si>
  <si>
    <t xml:space="preserve">1.5% p.a.</t>
  </si>
  <si>
    <t xml:space="preserve">2.0% p.a.</t>
  </si>
  <si>
    <t xml:space="preserve">2.5% p.a.</t>
  </si>
  <si>
    <t xml:space="preserve">3.0% p.a.</t>
  </si>
  <si>
    <t xml:space="preserve">3.5% p.a.</t>
  </si>
  <si>
    <t xml:space="preserve">Base case highlighted in green  |  Blue cells in Assumptions tab are editable inputs  |  All other cells contain formulas</t>
  </si>
</sst>
</file>

<file path=xl/styles.xml><?xml version="1.0" encoding="utf-8"?>
<styleSheet xmlns="http://schemas.openxmlformats.org/spreadsheetml/2006/main">
  <numFmts count="12">
    <numFmt numFmtId="164" formatCode="General"/>
    <numFmt numFmtId="165" formatCode="\$#,##0"/>
    <numFmt numFmtId="166" formatCode="#,##0"/>
    <numFmt numFmtId="167" formatCode="0.0%"/>
    <numFmt numFmtId="168" formatCode="0"/>
    <numFmt numFmtId="169" formatCode="\$#,##0;&quot;($&quot;#,##0\);\-"/>
    <numFmt numFmtId="170" formatCode="0.00%"/>
    <numFmt numFmtId="171" formatCode="\$#,##0"/>
    <numFmt numFmtId="172" formatCode="\$#,##0;&quot;($&quot;#,##0\);\-"/>
    <numFmt numFmtId="173" formatCode="0.00\x"/>
    <numFmt numFmtId="174" formatCode="[$$-409]#,##0.00;[RED]\-[$$-409]#,##0.00"/>
    <numFmt numFmtId="175" formatCode="\$#,##0.0"/>
  </numFmts>
  <fonts count="21">
    <font>
      <sz val="11"/>
      <color theme="1"/>
      <name val="Calibri"/>
      <family val="2"/>
      <charset val="1"/>
    </font>
    <font>
      <sz val="10"/>
      <name val="Arial"/>
      <family val="0"/>
    </font>
    <font>
      <sz val="10"/>
      <name val="Arial"/>
      <family val="0"/>
    </font>
    <font>
      <sz val="10"/>
      <name val="Arial"/>
      <family val="0"/>
    </font>
    <font>
      <b val="true"/>
      <sz val="30"/>
      <color rgb="FFFFFFFF"/>
      <name val="Arial"/>
      <family val="0"/>
      <charset val="1"/>
    </font>
    <font>
      <sz val="10"/>
      <color rgb="FFAACCBB"/>
      <name val="Arial"/>
      <family val="0"/>
      <charset val="1"/>
    </font>
    <font>
      <b val="true"/>
      <sz val="12"/>
      <color rgb="FF17E88F"/>
      <name val="Arial"/>
      <family val="0"/>
      <charset val="1"/>
    </font>
    <font>
      <sz val="10"/>
      <color rgb="FFFFFFFF"/>
      <name val="Arial"/>
      <family val="0"/>
      <charset val="1"/>
    </font>
    <font>
      <sz val="9"/>
      <color rgb="FFAACCBB"/>
      <name val="Arial"/>
      <family val="0"/>
      <charset val="1"/>
    </font>
    <font>
      <b val="true"/>
      <sz val="9"/>
      <color rgb="FFFFFFFF"/>
      <name val="Arial"/>
      <family val="0"/>
      <charset val="1"/>
    </font>
    <font>
      <b val="true"/>
      <sz val="9"/>
      <color rgb="FF666666"/>
      <name val="Arial"/>
      <family val="0"/>
      <charset val="1"/>
    </font>
    <font>
      <sz val="9"/>
      <color rgb="FF1A1A1A"/>
      <name val="Arial"/>
      <family val="0"/>
      <charset val="1"/>
    </font>
    <font>
      <i val="true"/>
      <sz val="8"/>
      <color rgb="FF666666"/>
      <name val="Arial"/>
      <family val="0"/>
      <charset val="1"/>
    </font>
    <font>
      <b val="true"/>
      <sz val="14"/>
      <color rgb="FFFFFFFF"/>
      <name val="Arial"/>
      <family val="0"/>
      <charset val="1"/>
    </font>
    <font>
      <sz val="9"/>
      <color rgb="FF0000FF"/>
      <name val="Arial"/>
      <family val="0"/>
      <charset val="1"/>
    </font>
    <font>
      <sz val="8"/>
      <color rgb="FF666666"/>
      <name val="Arial"/>
      <family val="0"/>
      <charset val="1"/>
    </font>
    <font>
      <b val="true"/>
      <sz val="9"/>
      <color rgb="FF1A1A1A"/>
      <name val="Arial"/>
      <family val="0"/>
      <charset val="1"/>
    </font>
    <font>
      <b val="true"/>
      <sz val="9"/>
      <color rgb="FF1A6B35"/>
      <name val="Arial"/>
      <family val="0"/>
      <charset val="1"/>
    </font>
    <font>
      <b val="true"/>
      <sz val="9"/>
      <color rgb="FF154360"/>
      <name val="Arial"/>
      <family val="0"/>
      <charset val="1"/>
    </font>
    <font>
      <sz val="7"/>
      <color rgb="FFAAAAAA"/>
      <name val="Arial"/>
      <family val="0"/>
      <charset val="1"/>
    </font>
    <font>
      <b val="true"/>
      <sz val="9"/>
      <color rgb="FF003F2D"/>
      <name val="Arial"/>
      <family val="0"/>
      <charset val="1"/>
    </font>
  </fonts>
  <fills count="12">
    <fill>
      <patternFill patternType="none"/>
    </fill>
    <fill>
      <patternFill patternType="gray125"/>
    </fill>
    <fill>
      <patternFill patternType="solid">
        <fgColor rgb="FF003F2D"/>
        <bgColor rgb="FF154360"/>
      </patternFill>
    </fill>
    <fill>
      <patternFill patternType="solid">
        <fgColor rgb="FF17803D"/>
        <bgColor rgb="FF1A6B35"/>
      </patternFill>
    </fill>
    <fill>
      <patternFill patternType="solid">
        <fgColor rgb="FFF0F7F4"/>
        <bgColor rgb="FFF5F5F5"/>
      </patternFill>
    </fill>
    <fill>
      <patternFill patternType="solid">
        <fgColor rgb="FFFFFFFF"/>
        <bgColor rgb="FFF5F5F5"/>
      </patternFill>
    </fill>
    <fill>
      <patternFill patternType="solid">
        <fgColor rgb="FFE0E0E0"/>
        <bgColor rgb="FFD4EDDA"/>
      </patternFill>
    </fill>
    <fill>
      <patternFill patternType="solid">
        <fgColor rgb="FFD4EDDA"/>
        <bgColor rgb="FFE0E0E0"/>
      </patternFill>
    </fill>
    <fill>
      <patternFill patternType="solid">
        <fgColor rgb="FFF5F5F5"/>
        <bgColor rgb="FFF0F7F4"/>
      </patternFill>
    </fill>
    <fill>
      <patternFill patternType="solid">
        <fgColor rgb="FFEBF5FB"/>
        <bgColor rgb="FFF0F7F4"/>
      </patternFill>
    </fill>
    <fill>
      <patternFill patternType="solid">
        <fgColor rgb="FFE8F5E9"/>
        <bgColor rgb="FFF0F7F4"/>
      </patternFill>
    </fill>
    <fill>
      <patternFill patternType="solid">
        <fgColor rgb="FF17E88F"/>
        <bgColor rgb="FF00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5" fontId="14"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6" fontId="14" fillId="0" borderId="1" xfId="0" applyFont="true" applyBorder="true" applyAlignment="true" applyProtection="false">
      <alignment horizontal="right" vertical="center" textRotation="0" wrapText="false" indent="0" shrinkToFit="false"/>
      <protection locked="true" hidden="false"/>
    </xf>
    <xf numFmtId="167" fontId="14" fillId="0" borderId="1" xfId="0" applyFont="true" applyBorder="true" applyAlignment="true" applyProtection="false">
      <alignment horizontal="right" vertical="center" textRotation="0" wrapText="false" indent="0" shrinkToFit="false"/>
      <protection locked="true" hidden="false"/>
    </xf>
    <xf numFmtId="168" fontId="14" fillId="0" borderId="1" xfId="0" applyFont="true" applyBorder="true" applyAlignment="true" applyProtection="false">
      <alignment horizontal="right" vertical="center" textRotation="0" wrapText="false" indent="0" shrinkToFit="false"/>
      <protection locked="true" hidden="false"/>
    </xf>
    <xf numFmtId="164" fontId="15"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false" indent="0" shrinkToFit="false"/>
      <protection locked="true" hidden="false"/>
    </xf>
    <xf numFmtId="169" fontId="14" fillId="0"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64" fontId="16" fillId="6" borderId="1" xfId="0" applyFont="true" applyBorder="true" applyAlignment="true" applyProtection="false">
      <alignment horizontal="left" vertical="center" textRotation="0" wrapText="false" indent="0" shrinkToFit="false"/>
      <protection locked="true" hidden="false"/>
    </xf>
    <xf numFmtId="165" fontId="16" fillId="6" borderId="1" xfId="0" applyFont="true" applyBorder="true" applyAlignment="true" applyProtection="false">
      <alignment horizontal="right" vertical="center" textRotation="0" wrapText="false" indent="0" shrinkToFit="false"/>
      <protection locked="true" hidden="false"/>
    </xf>
    <xf numFmtId="169" fontId="16" fillId="6" borderId="1" xfId="0" applyFont="true" applyBorder="true" applyAlignment="true" applyProtection="false">
      <alignment horizontal="right"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false" indent="0" shrinkToFit="false"/>
      <protection locked="true" hidden="false"/>
    </xf>
    <xf numFmtId="165" fontId="17" fillId="7" borderId="1" xfId="0" applyFont="true" applyBorder="true" applyAlignment="true" applyProtection="false">
      <alignment horizontal="right" vertical="center" textRotation="0" wrapText="false" indent="0" shrinkToFit="false"/>
      <protection locked="true" hidden="false"/>
    </xf>
    <xf numFmtId="170" fontId="11" fillId="0" borderId="1" xfId="0" applyFont="true" applyBorder="true" applyAlignment="true" applyProtection="false">
      <alignment horizontal="right" vertical="center" textRotation="0" wrapText="false" indent="0" shrinkToFit="false"/>
      <protection locked="true" hidden="false"/>
    </xf>
    <xf numFmtId="167" fontId="11" fillId="0" borderId="1"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71" fontId="11" fillId="0" borderId="1" xfId="0" applyFont="true" applyBorder="true" applyAlignment="true" applyProtection="false">
      <alignment horizontal="right" vertical="center" textRotation="0" wrapText="false" indent="0" shrinkToFit="false"/>
      <protection locked="true" hidden="false"/>
    </xf>
    <xf numFmtId="172" fontId="11" fillId="0" borderId="1" xfId="0" applyFont="true" applyBorder="true" applyAlignment="true" applyProtection="false">
      <alignment horizontal="right" vertical="center" textRotation="0" wrapText="false" indent="0" shrinkToFit="false"/>
      <protection locked="true" hidden="false"/>
    </xf>
    <xf numFmtId="171" fontId="16" fillId="6" borderId="1" xfId="0" applyFont="true" applyBorder="true" applyAlignment="true" applyProtection="false">
      <alignment horizontal="right" vertical="center" textRotation="0" wrapText="false" indent="0" shrinkToFit="false"/>
      <protection locked="true" hidden="false"/>
    </xf>
    <xf numFmtId="172" fontId="16" fillId="6" borderId="1" xfId="0" applyFont="true" applyBorder="true" applyAlignment="true" applyProtection="false">
      <alignment horizontal="right" vertical="center" textRotation="0" wrapText="false" indent="0" shrinkToFit="false"/>
      <protection locked="true" hidden="false"/>
    </xf>
    <xf numFmtId="171" fontId="17" fillId="7" borderId="1" xfId="0" applyFont="true" applyBorder="true" applyAlignment="true" applyProtection="false">
      <alignment horizontal="right"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false" indent="0" shrinkToFit="false"/>
      <protection locked="true" hidden="false"/>
    </xf>
    <xf numFmtId="172" fontId="18" fillId="9" borderId="1" xfId="0" applyFont="true" applyBorder="true" applyAlignment="true" applyProtection="false">
      <alignment horizontal="right" vertical="center" textRotation="0" wrapText="false" indent="0" shrinkToFit="false"/>
      <protection locked="true" hidden="false"/>
    </xf>
    <xf numFmtId="170" fontId="17" fillId="0" borderId="1" xfId="0" applyFont="true" applyBorder="true" applyAlignment="true" applyProtection="false">
      <alignment horizontal="right" vertical="center" textRotation="0" wrapText="false" indent="0" shrinkToFit="false"/>
      <protection locked="true" hidden="false"/>
    </xf>
    <xf numFmtId="170" fontId="18" fillId="0" borderId="1" xfId="0" applyFont="true" applyBorder="true" applyAlignment="true" applyProtection="false">
      <alignment horizontal="right" vertical="center" textRotation="0" wrapText="false" indent="0" shrinkToFit="false"/>
      <protection locked="true" hidden="false"/>
    </xf>
    <xf numFmtId="173" fontId="18" fillId="0" borderId="1" xfId="0" applyFont="true" applyBorder="true" applyAlignment="true" applyProtection="false">
      <alignment horizontal="right" vertical="center" textRotation="0" wrapText="fals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9" fontId="0" fillId="0" borderId="0" xfId="0" applyFont="false" applyBorder="false" applyAlignment="tru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general" vertical="bottom" textRotation="0" wrapText="false" indent="0" shrinkToFit="false"/>
      <protection locked="true" hidden="false"/>
    </xf>
    <xf numFmtId="164" fontId="11" fillId="8" borderId="1" xfId="0" applyFont="true" applyBorder="true" applyAlignment="true" applyProtection="false">
      <alignment horizontal="left" vertical="center" textRotation="0" wrapText="false" indent="0" shrinkToFit="false"/>
      <protection locked="true" hidden="false"/>
    </xf>
    <xf numFmtId="175" fontId="11" fillId="0" borderId="1" xfId="0" applyFont="true" applyBorder="true" applyAlignment="true" applyProtection="false">
      <alignment horizontal="right" vertical="center" textRotation="0" wrapText="false" indent="0" shrinkToFit="false"/>
      <protection locked="true" hidden="false"/>
    </xf>
    <xf numFmtId="175" fontId="16" fillId="10" borderId="1" xfId="0" applyFont="true" applyBorder="true" applyAlignment="true" applyProtection="false">
      <alignment horizontal="right" vertical="center" textRotation="0" wrapText="false" indent="0" shrinkToFit="false"/>
      <protection locked="true" hidden="false"/>
    </xf>
    <xf numFmtId="175" fontId="20" fillId="11" borderId="1" xfId="0" applyFont="true" applyBorder="true" applyAlignment="true" applyProtection="false">
      <alignment horizontal="right" vertical="center" textRotation="0" wrapText="false" indent="0" shrinkToFit="false"/>
      <protection locked="true" hidden="false"/>
    </xf>
    <xf numFmtId="170" fontId="16" fillId="10" borderId="1" xfId="0" applyFont="true" applyBorder="true" applyAlignment="true" applyProtection="false">
      <alignment horizontal="right" vertical="center" textRotation="0" wrapText="false" indent="0" shrinkToFit="false"/>
      <protection locked="true" hidden="false"/>
    </xf>
    <xf numFmtId="170" fontId="20" fillId="11" borderId="1"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7803D"/>
      <rgbColor rgb="FF000080"/>
      <rgbColor rgb="FF808000"/>
      <rgbColor rgb="FF800080"/>
      <rgbColor rgb="FF1A6B35"/>
      <rgbColor rgb="FFCCCCCC"/>
      <rgbColor rgb="FF808080"/>
      <rgbColor rgb="FF9999FF"/>
      <rgbColor rgb="FF993366"/>
      <rgbColor rgb="FFF5F5F5"/>
      <rgbColor rgb="FFE8F5E9"/>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EBF5FB"/>
      <rgbColor rgb="FFD4EDDA"/>
      <rgbColor rgb="FFF0F7F4"/>
      <rgbColor rgb="FFAACCBB"/>
      <rgbColor rgb="FFFF99CC"/>
      <rgbColor rgb="FFCC99FF"/>
      <rgbColor rgb="FFFFCC99"/>
      <rgbColor rgb="FF3366FF"/>
      <rgbColor rgb="FF17E88F"/>
      <rgbColor rgb="FF99CC00"/>
      <rgbColor rgb="FFFFCC00"/>
      <rgbColor rgb="FFFF9900"/>
      <rgbColor rgb="FFFF6600"/>
      <rgbColor rgb="FF666666"/>
      <rgbColor rgb="FFAAAAAA"/>
      <rgbColor rgb="FF154360"/>
      <rgbColor rgb="FF339966"/>
      <rgbColor rgb="FF003F2D"/>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9" min="3" style="1" width="14"/>
  </cols>
  <sheetData>
    <row r="1" customFormat="false" ht="18" hidden="false" customHeight="true" outlineLevel="0" collapsed="false">
      <c r="A1" s="2"/>
      <c r="B1" s="2"/>
      <c r="C1" s="2"/>
      <c r="D1" s="2"/>
      <c r="E1" s="2"/>
      <c r="F1" s="2"/>
      <c r="G1" s="2"/>
      <c r="H1" s="2"/>
      <c r="I1" s="2"/>
    </row>
    <row r="2" customFormat="false" ht="42" hidden="false" customHeight="true" outlineLevel="0" collapsed="false">
      <c r="A2" s="2"/>
      <c r="B2" s="3" t="s">
        <v>0</v>
      </c>
      <c r="C2" s="3"/>
      <c r="D2" s="3"/>
      <c r="E2" s="3"/>
      <c r="F2" s="3"/>
      <c r="G2" s="3"/>
      <c r="H2" s="3"/>
      <c r="I2" s="3"/>
    </row>
    <row r="3" customFormat="false" ht="18" hidden="false" customHeight="true" outlineLevel="0" collapsed="false">
      <c r="A3" s="2"/>
      <c r="B3" s="4" t="s">
        <v>1</v>
      </c>
      <c r="C3" s="4"/>
      <c r="D3" s="4"/>
      <c r="E3" s="4"/>
      <c r="F3" s="4"/>
      <c r="G3" s="4"/>
      <c r="H3" s="4"/>
      <c r="I3" s="4"/>
    </row>
    <row r="4" customFormat="false" ht="18" hidden="false" customHeight="true" outlineLevel="0" collapsed="false">
      <c r="A4" s="2"/>
      <c r="B4" s="5"/>
      <c r="C4" s="5"/>
      <c r="D4" s="5"/>
      <c r="E4" s="5"/>
      <c r="F4" s="5"/>
      <c r="G4" s="5"/>
      <c r="H4" s="5"/>
      <c r="I4" s="5"/>
    </row>
    <row r="5" customFormat="false" ht="18" hidden="false" customHeight="true" outlineLevel="0" collapsed="false">
      <c r="A5" s="2"/>
      <c r="B5" s="6" t="s">
        <v>2</v>
      </c>
      <c r="C5" s="6"/>
      <c r="D5" s="6"/>
      <c r="E5" s="6"/>
      <c r="F5" s="6"/>
      <c r="G5" s="6"/>
      <c r="H5" s="6"/>
      <c r="I5" s="6"/>
    </row>
    <row r="6" customFormat="false" ht="18" hidden="false" customHeight="true" outlineLevel="0" collapsed="false">
      <c r="A6" s="2"/>
      <c r="B6" s="7" t="s">
        <v>3</v>
      </c>
      <c r="C6" s="7"/>
      <c r="D6" s="7"/>
      <c r="E6" s="7"/>
      <c r="F6" s="7"/>
      <c r="G6" s="7"/>
      <c r="H6" s="7"/>
      <c r="I6" s="7"/>
    </row>
    <row r="7" customFormat="false" ht="18" hidden="false" customHeight="true" outlineLevel="0" collapsed="false">
      <c r="A7" s="2"/>
      <c r="B7" s="8" t="s">
        <v>4</v>
      </c>
      <c r="C7" s="8"/>
      <c r="D7" s="8"/>
      <c r="E7" s="8"/>
      <c r="F7" s="8"/>
      <c r="G7" s="8"/>
      <c r="H7" s="8"/>
      <c r="I7" s="8"/>
    </row>
    <row r="8" customFormat="false" ht="18" hidden="false" customHeight="true" outlineLevel="0" collapsed="false">
      <c r="A8" s="2"/>
      <c r="B8" s="2"/>
      <c r="C8" s="2"/>
      <c r="D8" s="2"/>
      <c r="E8" s="2"/>
      <c r="F8" s="2"/>
      <c r="G8" s="2"/>
      <c r="H8" s="2"/>
      <c r="I8" s="2"/>
    </row>
    <row r="9" customFormat="false" ht="15.75" hidden="false" customHeight="true" outlineLevel="0" collapsed="false">
      <c r="B9" s="9" t="s">
        <v>5</v>
      </c>
      <c r="C9" s="9"/>
      <c r="D9" s="9"/>
      <c r="E9" s="9"/>
      <c r="F9" s="9"/>
      <c r="G9" s="9"/>
      <c r="H9" s="9"/>
      <c r="I9" s="9"/>
    </row>
    <row r="10" customFormat="false" ht="15.75" hidden="false" customHeight="true" outlineLevel="0" collapsed="false">
      <c r="B10" s="10" t="s">
        <v>6</v>
      </c>
      <c r="C10" s="10"/>
      <c r="D10" s="11" t="s">
        <v>7</v>
      </c>
      <c r="E10" s="11"/>
      <c r="F10" s="11"/>
      <c r="G10" s="11"/>
      <c r="H10" s="11"/>
      <c r="I10" s="11"/>
    </row>
    <row r="11" customFormat="false" ht="15.75" hidden="false" customHeight="true" outlineLevel="0" collapsed="false">
      <c r="B11" s="10" t="s">
        <v>8</v>
      </c>
      <c r="C11" s="10"/>
      <c r="D11" s="11" t="s">
        <v>9</v>
      </c>
      <c r="E11" s="11"/>
      <c r="F11" s="11"/>
      <c r="G11" s="11"/>
      <c r="H11" s="11"/>
      <c r="I11" s="11"/>
    </row>
    <row r="12" customFormat="false" ht="15.75" hidden="false" customHeight="true" outlineLevel="0" collapsed="false">
      <c r="B12" s="10" t="s">
        <v>10</v>
      </c>
      <c r="C12" s="10"/>
      <c r="D12" s="11" t="s">
        <v>11</v>
      </c>
      <c r="E12" s="11"/>
      <c r="F12" s="11"/>
      <c r="G12" s="11"/>
      <c r="H12" s="11"/>
      <c r="I12" s="11"/>
    </row>
    <row r="13" customFormat="false" ht="15.75" hidden="false" customHeight="true" outlineLevel="0" collapsed="false">
      <c r="B13" s="10" t="s">
        <v>12</v>
      </c>
      <c r="C13" s="10"/>
      <c r="D13" s="11" t="s">
        <v>13</v>
      </c>
      <c r="E13" s="11"/>
      <c r="F13" s="11"/>
      <c r="G13" s="11"/>
      <c r="H13" s="11"/>
      <c r="I13" s="11"/>
    </row>
    <row r="14" customFormat="false" ht="15.75" hidden="false" customHeight="true" outlineLevel="0" collapsed="false">
      <c r="B14" s="10" t="s">
        <v>14</v>
      </c>
      <c r="C14" s="10"/>
      <c r="D14" s="11" t="s">
        <v>15</v>
      </c>
      <c r="E14" s="11"/>
      <c r="F14" s="11"/>
      <c r="G14" s="11"/>
      <c r="H14" s="11"/>
      <c r="I14" s="11"/>
    </row>
    <row r="15" customFormat="false" ht="15.75" hidden="false" customHeight="true" outlineLevel="0" collapsed="false">
      <c r="B15" s="10" t="s">
        <v>16</v>
      </c>
      <c r="C15" s="10"/>
      <c r="D15" s="11" t="s">
        <v>17</v>
      </c>
      <c r="E15" s="11"/>
      <c r="F15" s="11"/>
      <c r="G15" s="11"/>
      <c r="H15" s="11"/>
      <c r="I15" s="11"/>
    </row>
    <row r="16" customFormat="false" ht="15.75" hidden="false" customHeight="true" outlineLevel="0" collapsed="false">
      <c r="B16" s="10" t="s">
        <v>18</v>
      </c>
      <c r="C16" s="10"/>
      <c r="D16" s="11" t="s">
        <v>19</v>
      </c>
      <c r="E16" s="11"/>
      <c r="F16" s="11"/>
      <c r="G16" s="11"/>
      <c r="H16" s="11"/>
      <c r="I16" s="11"/>
    </row>
    <row r="17" customFormat="false" ht="15.75" hidden="false" customHeight="true" outlineLevel="0" collapsed="false"/>
    <row r="18" customFormat="false" ht="15.75" hidden="false" customHeight="true" outlineLevel="0" collapsed="false">
      <c r="B18" s="9" t="s">
        <v>20</v>
      </c>
      <c r="C18" s="9"/>
      <c r="D18" s="9"/>
      <c r="E18" s="9"/>
      <c r="F18" s="9"/>
      <c r="G18" s="9"/>
      <c r="H18" s="9"/>
      <c r="I18" s="9"/>
    </row>
    <row r="19" customFormat="false" ht="15.75" hidden="false" customHeight="true" outlineLevel="0" collapsed="false">
      <c r="B19" s="10" t="s">
        <v>21</v>
      </c>
      <c r="C19" s="10"/>
      <c r="D19" s="11" t="s">
        <v>22</v>
      </c>
      <c r="E19" s="11"/>
      <c r="F19" s="11"/>
      <c r="G19" s="11"/>
      <c r="H19" s="11"/>
      <c r="I19" s="11"/>
    </row>
    <row r="20" customFormat="false" ht="15.75" hidden="false" customHeight="true" outlineLevel="0" collapsed="false">
      <c r="B20" s="10" t="s">
        <v>23</v>
      </c>
      <c r="C20" s="10"/>
      <c r="D20" s="11" t="s">
        <v>24</v>
      </c>
      <c r="E20" s="11"/>
      <c r="F20" s="11"/>
      <c r="G20" s="11"/>
      <c r="H20" s="11"/>
      <c r="I20" s="11"/>
    </row>
    <row r="21" customFormat="false" ht="15.75" hidden="false" customHeight="true" outlineLevel="0" collapsed="false">
      <c r="B21" s="10" t="s">
        <v>25</v>
      </c>
      <c r="C21" s="10"/>
      <c r="D21" s="11" t="s">
        <v>26</v>
      </c>
      <c r="E21" s="11"/>
      <c r="F21" s="11"/>
      <c r="G21" s="11"/>
      <c r="H21" s="11"/>
      <c r="I21" s="11"/>
    </row>
    <row r="22" customFormat="false" ht="15.75" hidden="false" customHeight="true" outlineLevel="0" collapsed="false">
      <c r="B22" s="10" t="s">
        <v>27</v>
      </c>
      <c r="C22" s="10"/>
      <c r="D22" s="11" t="s">
        <v>28</v>
      </c>
      <c r="E22" s="11"/>
      <c r="F22" s="11"/>
      <c r="G22" s="11"/>
      <c r="H22" s="11"/>
      <c r="I22" s="11"/>
    </row>
    <row r="23" customFormat="false" ht="15.75" hidden="false" customHeight="true" outlineLevel="0" collapsed="false">
      <c r="B23" s="10" t="s">
        <v>29</v>
      </c>
      <c r="C23" s="10"/>
      <c r="D23" s="11" t="s">
        <v>30</v>
      </c>
      <c r="E23" s="11"/>
      <c r="F23" s="11"/>
      <c r="G23" s="11"/>
      <c r="H23" s="11"/>
      <c r="I23" s="11"/>
    </row>
    <row r="24" customFormat="false" ht="15.75" hidden="false" customHeight="true" outlineLevel="0" collapsed="false">
      <c r="B24" s="10" t="s">
        <v>31</v>
      </c>
      <c r="C24" s="10"/>
      <c r="D24" s="11" t="s">
        <v>32</v>
      </c>
      <c r="E24" s="11"/>
      <c r="F24" s="11"/>
      <c r="G24" s="11"/>
      <c r="H24" s="11"/>
      <c r="I24" s="11"/>
    </row>
    <row r="25" customFormat="false" ht="15.75" hidden="false" customHeight="true" outlineLevel="0" collapsed="false"/>
    <row r="26" customFormat="false" ht="15.75" hidden="false" customHeight="true" outlineLevel="0" collapsed="false">
      <c r="B26" s="9" t="s">
        <v>33</v>
      </c>
      <c r="C26" s="9"/>
      <c r="D26" s="9"/>
      <c r="E26" s="9"/>
      <c r="F26" s="9"/>
      <c r="G26" s="9"/>
      <c r="H26" s="9"/>
      <c r="I26" s="9"/>
    </row>
    <row r="27" customFormat="false" ht="15.75" hidden="false" customHeight="true" outlineLevel="0" collapsed="false">
      <c r="B27" s="10" t="s">
        <v>34</v>
      </c>
      <c r="C27" s="10"/>
      <c r="D27" s="11" t="s">
        <v>35</v>
      </c>
      <c r="E27" s="11"/>
      <c r="F27" s="11"/>
      <c r="G27" s="11"/>
      <c r="H27" s="11"/>
      <c r="I27" s="11"/>
    </row>
    <row r="28" customFormat="false" ht="15.75" hidden="false" customHeight="true" outlineLevel="0" collapsed="false">
      <c r="B28" s="10" t="s">
        <v>36</v>
      </c>
      <c r="C28" s="10"/>
      <c r="D28" s="11" t="s">
        <v>37</v>
      </c>
      <c r="E28" s="11"/>
      <c r="F28" s="11"/>
      <c r="G28" s="11"/>
      <c r="H28" s="11"/>
      <c r="I28" s="11"/>
    </row>
    <row r="29" customFormat="false" ht="15.75" hidden="false" customHeight="true" outlineLevel="0" collapsed="false">
      <c r="B29" s="10" t="s">
        <v>38</v>
      </c>
      <c r="C29" s="10"/>
      <c r="D29" s="11" t="s">
        <v>39</v>
      </c>
      <c r="E29" s="11"/>
      <c r="F29" s="11"/>
      <c r="G29" s="11"/>
      <c r="H29" s="11"/>
      <c r="I29" s="11"/>
    </row>
    <row r="30" customFormat="false" ht="15.75" hidden="false" customHeight="true" outlineLevel="0" collapsed="false">
      <c r="B30" s="10" t="s">
        <v>40</v>
      </c>
      <c r="C30" s="10"/>
      <c r="D30" s="11" t="s">
        <v>41</v>
      </c>
      <c r="E30" s="11"/>
      <c r="F30" s="11"/>
      <c r="G30" s="11"/>
      <c r="H30" s="11"/>
      <c r="I30" s="11"/>
    </row>
    <row r="31" customFormat="false" ht="15.75" hidden="false" customHeight="true" outlineLevel="0" collapsed="false"/>
    <row r="32" customFormat="false" ht="39.75" hidden="false" customHeight="true" outlineLevel="0" collapsed="false">
      <c r="B32" s="12" t="s">
        <v>42</v>
      </c>
      <c r="C32" s="12"/>
      <c r="D32" s="12"/>
      <c r="E32" s="12"/>
      <c r="F32" s="12"/>
      <c r="G32" s="12"/>
      <c r="H32" s="12"/>
      <c r="I32" s="12"/>
    </row>
    <row r="33" customFormat="false" ht="15.75" hidden="false" customHeight="true" outlineLevel="0" collapsed="false">
      <c r="B33" s="12"/>
      <c r="C33" s="12"/>
      <c r="D33" s="12"/>
      <c r="E33" s="12"/>
      <c r="F33" s="12"/>
      <c r="G33" s="12"/>
      <c r="H33" s="12"/>
      <c r="I33" s="12"/>
    </row>
    <row r="34" customFormat="false" ht="15" hidden="false" customHeight="true" outlineLevel="0" collapsed="false">
      <c r="B34" s="12"/>
      <c r="C34" s="12"/>
      <c r="D34" s="12"/>
      <c r="E34" s="12"/>
      <c r="F34" s="12"/>
      <c r="G34" s="12"/>
      <c r="H34" s="12"/>
      <c r="I34" s="12"/>
    </row>
  </sheetData>
  <mergeCells count="43">
    <mergeCell ref="B2:I2"/>
    <mergeCell ref="B3:I3"/>
    <mergeCell ref="B5:I5"/>
    <mergeCell ref="B6:I6"/>
    <mergeCell ref="B7:I7"/>
    <mergeCell ref="B9:I9"/>
    <mergeCell ref="B10:C10"/>
    <mergeCell ref="D10:I10"/>
    <mergeCell ref="B11:C11"/>
    <mergeCell ref="D11:I11"/>
    <mergeCell ref="B12:C12"/>
    <mergeCell ref="D12:I12"/>
    <mergeCell ref="B13:C13"/>
    <mergeCell ref="D13:I13"/>
    <mergeCell ref="B14:C14"/>
    <mergeCell ref="D14:I14"/>
    <mergeCell ref="B15:C15"/>
    <mergeCell ref="D15:I15"/>
    <mergeCell ref="B16:C16"/>
    <mergeCell ref="D16:I16"/>
    <mergeCell ref="B18:I18"/>
    <mergeCell ref="B19:C19"/>
    <mergeCell ref="D19:I19"/>
    <mergeCell ref="B20:C20"/>
    <mergeCell ref="D20:I20"/>
    <mergeCell ref="B21:C21"/>
    <mergeCell ref="D21:I21"/>
    <mergeCell ref="B22:C22"/>
    <mergeCell ref="D22:I22"/>
    <mergeCell ref="B23:C23"/>
    <mergeCell ref="D23:I23"/>
    <mergeCell ref="B24:C24"/>
    <mergeCell ref="D24:I24"/>
    <mergeCell ref="B26:I26"/>
    <mergeCell ref="B27:C27"/>
    <mergeCell ref="D27:I27"/>
    <mergeCell ref="B28:C28"/>
    <mergeCell ref="D28:I28"/>
    <mergeCell ref="B29:C29"/>
    <mergeCell ref="D29:I29"/>
    <mergeCell ref="B30:C30"/>
    <mergeCell ref="D30:I30"/>
    <mergeCell ref="B32:I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8"/>
    <col collapsed="false" customWidth="true" hidden="false" outlineLevel="0" max="3" min="3" style="1" width="16"/>
    <col collapsed="false" customWidth="true" hidden="false" outlineLevel="0" max="4" min="4" style="1" width="24"/>
    <col collapsed="false" customWidth="true" hidden="false" outlineLevel="0" max="5" min="5" style="1" width="3"/>
  </cols>
  <sheetData>
    <row r="1" customFormat="false" ht="15.75" hidden="false" customHeight="true" outlineLevel="0" collapsed="false"/>
    <row r="2" customFormat="false" ht="30" hidden="false" customHeight="true" outlineLevel="0" collapsed="false">
      <c r="A2" s="2"/>
      <c r="B2" s="13" t="s">
        <v>43</v>
      </c>
      <c r="C2" s="13"/>
      <c r="D2" s="13"/>
      <c r="E2" s="2"/>
    </row>
    <row r="3" customFormat="false" ht="15.75" hidden="false" customHeight="true" outlineLevel="0" collapsed="false"/>
    <row r="4" customFormat="false" ht="15.75" hidden="false" customHeight="true" outlineLevel="0" collapsed="false">
      <c r="B4" s="14" t="s">
        <v>44</v>
      </c>
      <c r="C4" s="14"/>
      <c r="D4" s="14"/>
    </row>
    <row r="5" customFormat="false" ht="15.75" hidden="false" customHeight="true" outlineLevel="0" collapsed="false">
      <c r="B5" s="15" t="s">
        <v>45</v>
      </c>
      <c r="C5" s="16" t="n">
        <v>264400000</v>
      </c>
      <c r="D5" s="17" t="s">
        <v>46</v>
      </c>
    </row>
    <row r="6" customFormat="false" ht="15.75" hidden="false" customHeight="true" outlineLevel="0" collapsed="false">
      <c r="B6" s="15" t="s">
        <v>47</v>
      </c>
      <c r="C6" s="18" t="n">
        <v>705</v>
      </c>
      <c r="D6" s="17" t="s">
        <v>48</v>
      </c>
    </row>
    <row r="7" customFormat="false" ht="15.75" hidden="false" customHeight="true" outlineLevel="0" collapsed="false">
      <c r="B7" s="15" t="s">
        <v>49</v>
      </c>
      <c r="C7" s="18" t="n">
        <v>868</v>
      </c>
      <c r="D7" s="17" t="s">
        <v>50</v>
      </c>
    </row>
    <row r="8" customFormat="false" ht="15.75" hidden="false" customHeight="true" outlineLevel="0" collapsed="false"/>
    <row r="9" customFormat="false" ht="15.75" hidden="false" customHeight="true" outlineLevel="0" collapsed="false">
      <c r="B9" s="14" t="s">
        <v>51</v>
      </c>
      <c r="C9" s="14"/>
      <c r="D9" s="14"/>
    </row>
    <row r="10" customFormat="false" ht="15.75" hidden="false" customHeight="true" outlineLevel="0" collapsed="false">
      <c r="B10" s="15" t="s">
        <v>52</v>
      </c>
      <c r="C10" s="19" t="n">
        <v>0.965</v>
      </c>
      <c r="D10" s="17" t="s">
        <v>53</v>
      </c>
    </row>
    <row r="11" customFormat="false" ht="15.75" hidden="false" customHeight="true" outlineLevel="0" collapsed="false">
      <c r="B11" s="15" t="s">
        <v>54</v>
      </c>
      <c r="C11" s="19" t="n">
        <v>0.975</v>
      </c>
      <c r="D11" s="17" t="s">
        <v>55</v>
      </c>
    </row>
    <row r="12" customFormat="false" ht="15.75" hidden="false" customHeight="true" outlineLevel="0" collapsed="false">
      <c r="B12" s="15" t="s">
        <v>56</v>
      </c>
      <c r="C12" s="16" t="n">
        <v>2150</v>
      </c>
      <c r="D12" s="17" t="s">
        <v>57</v>
      </c>
    </row>
    <row r="13" customFormat="false" ht="15.75" hidden="false" customHeight="true" outlineLevel="0" collapsed="false">
      <c r="B13" s="15" t="s">
        <v>58</v>
      </c>
      <c r="C13" s="19" t="n">
        <v>0.03</v>
      </c>
      <c r="D13" s="17" t="s">
        <v>59</v>
      </c>
    </row>
    <row r="14" customFormat="false" ht="15.75" hidden="false" customHeight="true" outlineLevel="0" collapsed="false">
      <c r="B14" s="15" t="s">
        <v>60</v>
      </c>
      <c r="C14" s="19" t="n">
        <v>0.025</v>
      </c>
      <c r="D14" s="17" t="s">
        <v>61</v>
      </c>
    </row>
    <row r="15" customFormat="false" ht="15.75" hidden="false" customHeight="true" outlineLevel="0" collapsed="false">
      <c r="B15" s="15" t="s">
        <v>62</v>
      </c>
      <c r="C15" s="16" t="n">
        <v>480</v>
      </c>
      <c r="D15" s="17" t="s">
        <v>63</v>
      </c>
    </row>
    <row r="16" customFormat="false" ht="15.75" hidden="false" customHeight="true" outlineLevel="0" collapsed="false">
      <c r="B16" s="15" t="s">
        <v>64</v>
      </c>
      <c r="C16" s="19" t="n">
        <v>0.02</v>
      </c>
      <c r="D16" s="17" t="s">
        <v>65</v>
      </c>
    </row>
    <row r="17" customFormat="false" ht="15.75" hidden="false" customHeight="true" outlineLevel="0" collapsed="false"/>
    <row r="18" customFormat="false" ht="15.75" hidden="false" customHeight="true" outlineLevel="0" collapsed="false">
      <c r="B18" s="14" t="s">
        <v>66</v>
      </c>
      <c r="C18" s="14"/>
      <c r="D18" s="14"/>
    </row>
    <row r="19" customFormat="false" ht="15.75" hidden="false" customHeight="true" outlineLevel="0" collapsed="false">
      <c r="B19" s="15" t="s">
        <v>67</v>
      </c>
      <c r="C19" s="16" t="n">
        <v>2800</v>
      </c>
      <c r="D19" s="17" t="s">
        <v>68</v>
      </c>
    </row>
    <row r="20" customFormat="false" ht="15.75" hidden="false" customHeight="true" outlineLevel="0" collapsed="false">
      <c r="B20" s="15" t="s">
        <v>69</v>
      </c>
      <c r="C20" s="16" t="n">
        <v>380</v>
      </c>
      <c r="D20" s="17" t="s">
        <v>70</v>
      </c>
    </row>
    <row r="21" customFormat="false" ht="15.75" hidden="false" customHeight="true" outlineLevel="0" collapsed="false">
      <c r="B21" s="15" t="s">
        <v>71</v>
      </c>
      <c r="C21" s="19" t="n">
        <v>0.04</v>
      </c>
      <c r="D21" s="17" t="s">
        <v>72</v>
      </c>
    </row>
    <row r="22" customFormat="false" ht="15.75" hidden="false" customHeight="true" outlineLevel="0" collapsed="false">
      <c r="B22" s="15" t="s">
        <v>73</v>
      </c>
      <c r="C22" s="16" t="n">
        <v>950</v>
      </c>
      <c r="D22" s="17" t="s">
        <v>74</v>
      </c>
    </row>
    <row r="23" customFormat="false" ht="15.75" hidden="false" customHeight="true" outlineLevel="0" collapsed="false">
      <c r="B23" s="15" t="s">
        <v>75</v>
      </c>
      <c r="C23" s="16" t="n">
        <v>720</v>
      </c>
      <c r="D23" s="17" t="s">
        <v>76</v>
      </c>
    </row>
    <row r="24" customFormat="false" ht="15.75" hidden="false" customHeight="true" outlineLevel="0" collapsed="false">
      <c r="B24" s="15" t="s">
        <v>77</v>
      </c>
      <c r="C24" s="16" t="n">
        <v>420</v>
      </c>
      <c r="D24" s="17" t="s">
        <v>78</v>
      </c>
    </row>
    <row r="25" customFormat="false" ht="15.75" hidden="false" customHeight="true" outlineLevel="0" collapsed="false">
      <c r="B25" s="15" t="s">
        <v>79</v>
      </c>
      <c r="C25" s="19" t="n">
        <v>0.025</v>
      </c>
      <c r="D25" s="17" t="s">
        <v>80</v>
      </c>
    </row>
    <row r="26" customFormat="false" ht="15.75" hidden="false" customHeight="true" outlineLevel="0" collapsed="false">
      <c r="B26" s="15" t="s">
        <v>81</v>
      </c>
      <c r="C26" s="16" t="n">
        <v>400</v>
      </c>
      <c r="D26" s="17" t="s">
        <v>82</v>
      </c>
    </row>
    <row r="27" customFormat="false" ht="15.75" hidden="false" customHeight="true" outlineLevel="0" collapsed="false"/>
    <row r="28" customFormat="false" ht="15.75" hidden="false" customHeight="true" outlineLevel="0" collapsed="false">
      <c r="B28" s="14" t="s">
        <v>83</v>
      </c>
      <c r="C28" s="14"/>
      <c r="D28" s="14"/>
    </row>
    <row r="29" customFormat="false" ht="15.75" hidden="false" customHeight="true" outlineLevel="0" collapsed="false">
      <c r="B29" s="15" t="s">
        <v>84</v>
      </c>
      <c r="C29" s="19" t="n">
        <v>0.65</v>
      </c>
      <c r="D29" s="17" t="s">
        <v>85</v>
      </c>
    </row>
    <row r="30" customFormat="false" ht="15.75" hidden="false" customHeight="true" outlineLevel="0" collapsed="false">
      <c r="B30" s="15" t="s">
        <v>86</v>
      </c>
      <c r="C30" s="19" t="n">
        <v>0.0475</v>
      </c>
      <c r="D30" s="17" t="s">
        <v>87</v>
      </c>
    </row>
    <row r="31" customFormat="false" ht="15.75" hidden="false" customHeight="true" outlineLevel="0" collapsed="false">
      <c r="B31" s="15" t="s">
        <v>88</v>
      </c>
      <c r="C31" s="20" t="n">
        <v>30</v>
      </c>
      <c r="D31" s="17" t="s">
        <v>89</v>
      </c>
    </row>
    <row r="32" customFormat="false" ht="15.75" hidden="false" customHeight="true" outlineLevel="0" collapsed="false">
      <c r="B32" s="15" t="s">
        <v>90</v>
      </c>
      <c r="C32" s="20" t="n">
        <v>10</v>
      </c>
      <c r="D32" s="17" t="s">
        <v>91</v>
      </c>
    </row>
    <row r="33" customFormat="false" ht="15.75" hidden="false" customHeight="true" outlineLevel="0" collapsed="false"/>
    <row r="34" customFormat="false" ht="15.75" hidden="false" customHeight="true" outlineLevel="0" collapsed="false">
      <c r="B34" s="14" t="s">
        <v>92</v>
      </c>
      <c r="C34" s="14"/>
      <c r="D34" s="14"/>
    </row>
    <row r="35" customFormat="false" ht="15.75" hidden="false" customHeight="true" outlineLevel="0" collapsed="false">
      <c r="B35" s="15" t="s">
        <v>93</v>
      </c>
      <c r="C35" s="20" t="n">
        <v>10</v>
      </c>
      <c r="D35" s="17" t="s">
        <v>94</v>
      </c>
    </row>
    <row r="36" customFormat="false" ht="15.75" hidden="false" customHeight="true" outlineLevel="0" collapsed="false">
      <c r="B36" s="15" t="s">
        <v>95</v>
      </c>
      <c r="C36" s="19" t="n">
        <v>0.05</v>
      </c>
      <c r="D36" s="17" t="s">
        <v>96</v>
      </c>
    </row>
    <row r="37" customFormat="false" ht="15.75" hidden="false" customHeight="true" outlineLevel="0" collapsed="false">
      <c r="B37" s="15" t="s">
        <v>97</v>
      </c>
      <c r="C37" s="19" t="n">
        <v>0.015</v>
      </c>
      <c r="D37" s="17" t="s">
        <v>98</v>
      </c>
    </row>
    <row r="38" customFormat="false" ht="15.75" hidden="false" customHeight="true" outlineLevel="0" collapsed="false">
      <c r="B38" s="15" t="s">
        <v>99</v>
      </c>
      <c r="C38" s="19" t="n">
        <v>0.0625</v>
      </c>
      <c r="D38" s="17" t="s">
        <v>100</v>
      </c>
    </row>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sheetData>
  <mergeCells count="6">
    <mergeCell ref="B2:D2"/>
    <mergeCell ref="B4:D4"/>
    <mergeCell ref="B9:D9"/>
    <mergeCell ref="B18:D18"/>
    <mergeCell ref="B28:D28"/>
    <mergeCell ref="B34:D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0"/>
    <col collapsed="false" customWidth="true" hidden="false" outlineLevel="0" max="3" min="3" style="1" width="18"/>
    <col collapsed="false" customWidth="true" hidden="false" outlineLevel="0" max="4" min="4" style="1" width="14"/>
    <col collapsed="false" customWidth="true" hidden="false" outlineLevel="0" max="5" min="5" style="1" width="24"/>
    <col collapsed="false" customWidth="true" hidden="false" outlineLevel="0" max="6" min="6" style="1" width="3"/>
  </cols>
  <sheetData>
    <row r="1" customFormat="false" ht="15.75" hidden="false" customHeight="true" outlineLevel="0" collapsed="false"/>
    <row r="2" customFormat="false" ht="30" hidden="false" customHeight="true" outlineLevel="0" collapsed="false">
      <c r="A2" s="2"/>
      <c r="B2" s="13" t="s">
        <v>101</v>
      </c>
      <c r="C2" s="13"/>
      <c r="D2" s="13"/>
      <c r="E2" s="13"/>
      <c r="F2" s="2"/>
    </row>
    <row r="3" customFormat="false" ht="15.75" hidden="false" customHeight="true" outlineLevel="0" collapsed="false">
      <c r="B3" s="21" t="s">
        <v>102</v>
      </c>
      <c r="C3" s="21"/>
      <c r="D3" s="21"/>
      <c r="E3" s="21"/>
    </row>
    <row r="4" customFormat="false" ht="15.75" hidden="false" customHeight="true" outlineLevel="0" collapsed="false"/>
    <row r="5" customFormat="false" ht="15.75" hidden="false" customHeight="true" outlineLevel="0" collapsed="false">
      <c r="B5" s="22" t="s">
        <v>103</v>
      </c>
      <c r="C5" s="22" t="s">
        <v>104</v>
      </c>
      <c r="D5" s="22" t="s">
        <v>105</v>
      </c>
      <c r="E5" s="22" t="s">
        <v>106</v>
      </c>
    </row>
    <row r="6" customFormat="false" ht="15.75" hidden="false" customHeight="true" outlineLevel="0" collapsed="false">
      <c r="B6" s="14" t="s">
        <v>51</v>
      </c>
      <c r="C6" s="14"/>
      <c r="D6" s="14"/>
      <c r="E6" s="14"/>
    </row>
    <row r="7" customFormat="false" ht="15.75" hidden="false" customHeight="true" outlineLevel="0" collapsed="false">
      <c r="B7" s="15" t="s">
        <v>107</v>
      </c>
      <c r="C7" s="16" t="n">
        <v>18215400</v>
      </c>
      <c r="D7" s="23" t="n">
        <f aca="false">C7/705</f>
        <v>25837.4468085106</v>
      </c>
      <c r="E7" s="24" t="s">
        <v>108</v>
      </c>
    </row>
    <row r="8" customFormat="false" ht="15.75" hidden="false" customHeight="true" outlineLevel="0" collapsed="false">
      <c r="B8" s="15" t="s">
        <v>109</v>
      </c>
      <c r="C8" s="25" t="n">
        <v>-637539</v>
      </c>
      <c r="D8" s="26" t="n">
        <f aca="false">C8/705</f>
        <v>-904.310638297872</v>
      </c>
      <c r="E8" s="24" t="s">
        <v>110</v>
      </c>
    </row>
    <row r="9" customFormat="false" ht="15.75" hidden="false" customHeight="true" outlineLevel="0" collapsed="false">
      <c r="B9" s="15" t="s">
        <v>111</v>
      </c>
      <c r="C9" s="16" t="n">
        <v>338400</v>
      </c>
      <c r="D9" s="23" t="n">
        <f aca="false">C9/705</f>
        <v>480</v>
      </c>
      <c r="E9" s="24" t="s">
        <v>112</v>
      </c>
    </row>
    <row r="10" customFormat="false" ht="15.75" hidden="false" customHeight="true" outlineLevel="0" collapsed="false">
      <c r="B10" s="27" t="s">
        <v>113</v>
      </c>
      <c r="C10" s="28" t="n">
        <f aca="false">C7+C8+C9</f>
        <v>17916261</v>
      </c>
      <c r="D10" s="28" t="n">
        <f aca="false">C10/705</f>
        <v>25413.1361702128</v>
      </c>
    </row>
    <row r="11" customFormat="false" ht="7.5" hidden="false" customHeight="true" outlineLevel="0" collapsed="false"/>
    <row r="12" customFormat="false" ht="15.75" hidden="false" customHeight="true" outlineLevel="0" collapsed="false">
      <c r="B12" s="14" t="s">
        <v>66</v>
      </c>
      <c r="C12" s="14"/>
      <c r="D12" s="14"/>
      <c r="E12" s="14"/>
    </row>
    <row r="13" customFormat="false" ht="15.75" hidden="false" customHeight="true" outlineLevel="0" collapsed="false">
      <c r="B13" s="15" t="s">
        <v>114</v>
      </c>
      <c r="C13" s="25" t="n">
        <v>-1974000</v>
      </c>
      <c r="D13" s="26" t="n">
        <f aca="false">C13/705</f>
        <v>-2800</v>
      </c>
      <c r="E13" s="24" t="s">
        <v>115</v>
      </c>
    </row>
    <row r="14" customFormat="false" ht="15.75" hidden="false" customHeight="true" outlineLevel="0" collapsed="false">
      <c r="B14" s="15" t="s">
        <v>116</v>
      </c>
      <c r="C14" s="25" t="n">
        <v>-267900</v>
      </c>
      <c r="D14" s="26" t="n">
        <f aca="false">C14/705</f>
        <v>-380</v>
      </c>
      <c r="E14" s="24" t="s">
        <v>117</v>
      </c>
    </row>
    <row r="15" customFormat="false" ht="15.75" hidden="false" customHeight="true" outlineLevel="0" collapsed="false">
      <c r="B15" s="15" t="s">
        <v>118</v>
      </c>
      <c r="C15" s="26" t="n">
        <f aca="false">-0.04*C10</f>
        <v>-716650.44</v>
      </c>
      <c r="D15" s="26" t="n">
        <f aca="false">C15/705</f>
        <v>-1016.52544680851</v>
      </c>
      <c r="E15" s="24" t="s">
        <v>119</v>
      </c>
    </row>
    <row r="16" customFormat="false" ht="15.75" hidden="false" customHeight="true" outlineLevel="0" collapsed="false">
      <c r="B16" s="15" t="s">
        <v>120</v>
      </c>
      <c r="C16" s="25" t="n">
        <v>-669750</v>
      </c>
      <c r="D16" s="26" t="n">
        <f aca="false">C16/705</f>
        <v>-950</v>
      </c>
      <c r="E16" s="24" t="s">
        <v>121</v>
      </c>
    </row>
    <row r="17" customFormat="false" ht="15.75" hidden="false" customHeight="true" outlineLevel="0" collapsed="false">
      <c r="B17" s="15" t="s">
        <v>122</v>
      </c>
      <c r="C17" s="25" t="n">
        <v>-507600</v>
      </c>
      <c r="D17" s="26" t="n">
        <f aca="false">C17/705</f>
        <v>-720</v>
      </c>
      <c r="E17" s="24" t="s">
        <v>123</v>
      </c>
    </row>
    <row r="18" customFormat="false" ht="15.75" hidden="false" customHeight="true" outlineLevel="0" collapsed="false">
      <c r="B18" s="15" t="s">
        <v>124</v>
      </c>
      <c r="C18" s="25" t="n">
        <v>-296100</v>
      </c>
      <c r="D18" s="26" t="n">
        <f aca="false">C18/705</f>
        <v>-420</v>
      </c>
      <c r="E18" s="24" t="s">
        <v>125</v>
      </c>
    </row>
    <row r="19" customFormat="false" ht="15.75" hidden="false" customHeight="true" outlineLevel="0" collapsed="false">
      <c r="B19" s="27" t="s">
        <v>126</v>
      </c>
      <c r="C19" s="29" t="n">
        <f aca="false">SUM(C13:C18)</f>
        <v>-4432000.44</v>
      </c>
      <c r="D19" s="29" t="n">
        <f aca="false">C19/705</f>
        <v>-6286.52544680851</v>
      </c>
    </row>
    <row r="20" customFormat="false" ht="7.5" hidden="false" customHeight="true" outlineLevel="0" collapsed="false"/>
    <row r="21" customFormat="false" ht="18" hidden="false" customHeight="true" outlineLevel="0" collapsed="false">
      <c r="B21" s="30" t="s">
        <v>127</v>
      </c>
      <c r="C21" s="31" t="n">
        <f aca="false">C10+C19</f>
        <v>13484260.56</v>
      </c>
      <c r="D21" s="31" t="n">
        <f aca="false">C21/705</f>
        <v>19126.6107234043</v>
      </c>
    </row>
    <row r="22" customFormat="false" ht="7.5" hidden="false" customHeight="true" outlineLevel="0" collapsed="false"/>
    <row r="23" customFormat="false" ht="15.75" hidden="false" customHeight="true" outlineLevel="0" collapsed="false">
      <c r="B23" s="15" t="s">
        <v>128</v>
      </c>
      <c r="C23" s="25" t="n">
        <v>-282000</v>
      </c>
      <c r="D23" s="26" t="n">
        <f aca="false">C23/705</f>
        <v>-400</v>
      </c>
      <c r="E23" s="24" t="s">
        <v>129</v>
      </c>
    </row>
    <row r="24" customFormat="false" ht="15.75" hidden="false" customHeight="true" outlineLevel="0" collapsed="false">
      <c r="B24" s="27" t="s">
        <v>130</v>
      </c>
      <c r="C24" s="28" t="n">
        <f aca="false">C21+C23</f>
        <v>13202260.56</v>
      </c>
      <c r="D24" s="28" t="n">
        <f aca="false">C24/705</f>
        <v>18726.6107234043</v>
      </c>
    </row>
    <row r="25" customFormat="false" ht="15.75" hidden="false" customHeight="true" outlineLevel="0" collapsed="false"/>
    <row r="26" customFormat="false" ht="15.75" hidden="false" customHeight="true" outlineLevel="0" collapsed="false">
      <c r="B26" s="14" t="s">
        <v>131</v>
      </c>
      <c r="C26" s="14"/>
      <c r="D26" s="14"/>
      <c r="E26" s="14"/>
    </row>
    <row r="27" customFormat="false" ht="15.75" hidden="false" customHeight="true" outlineLevel="0" collapsed="false">
      <c r="B27" s="15" t="s">
        <v>132</v>
      </c>
      <c r="C27" s="23" t="n">
        <f aca="false">C21</f>
        <v>13484260.56</v>
      </c>
    </row>
    <row r="28" customFormat="false" ht="15.75" hidden="false" customHeight="true" outlineLevel="0" collapsed="false">
      <c r="B28" s="15" t="s">
        <v>133</v>
      </c>
      <c r="C28" s="23" t="n">
        <f aca="false">C21/705</f>
        <v>19126.6107234043</v>
      </c>
    </row>
    <row r="29" customFormat="false" ht="15.75" hidden="false" customHeight="true" outlineLevel="0" collapsed="false">
      <c r="B29" s="15" t="s">
        <v>134</v>
      </c>
      <c r="C29" s="32" t="n">
        <f aca="false">C21/264400000</f>
        <v>0.0509994726172466</v>
      </c>
    </row>
    <row r="30" customFormat="false" ht="15.75" hidden="false" customHeight="true" outlineLevel="0" collapsed="false">
      <c r="B30" s="15" t="s">
        <v>135</v>
      </c>
      <c r="C30" s="33" t="n">
        <f aca="false">ABS(C19)/C10</f>
        <v>0.24737306740508</v>
      </c>
    </row>
    <row r="31" customFormat="false" ht="15.75" hidden="false" customHeight="true" outlineLevel="0" collapsed="false">
      <c r="B31" s="15" t="s">
        <v>136</v>
      </c>
      <c r="C31" s="33" t="n">
        <f aca="false">C21/C10</f>
        <v>0.75262693259492</v>
      </c>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sheetData>
  <mergeCells count="5">
    <mergeCell ref="B2:E2"/>
    <mergeCell ref="B3:E3"/>
    <mergeCell ref="B6:E6"/>
    <mergeCell ref="B12:E12"/>
    <mergeCell ref="B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3" min="3" style="1" width="11"/>
    <col collapsed="false" customWidth="true" hidden="false" outlineLevel="0" max="14" min="14" style="1" width="3"/>
  </cols>
  <sheetData>
    <row r="1" customFormat="false" ht="15" hidden="false" customHeight="true" outlineLevel="0" collapsed="false"/>
    <row r="2" customFormat="false" ht="30" hidden="false" customHeight="true" outlineLevel="0" collapsed="false">
      <c r="A2" s="2"/>
      <c r="B2" s="13" t="s">
        <v>137</v>
      </c>
      <c r="C2" s="13"/>
      <c r="D2" s="13"/>
      <c r="E2" s="13"/>
      <c r="F2" s="13"/>
      <c r="G2" s="13"/>
      <c r="H2" s="13"/>
      <c r="I2" s="13"/>
      <c r="J2" s="13"/>
      <c r="K2" s="13"/>
      <c r="L2" s="13"/>
      <c r="M2" s="13"/>
      <c r="N2" s="2"/>
    </row>
    <row r="3" customFormat="false" ht="15" hidden="false" customHeight="true" outlineLevel="0" collapsed="false">
      <c r="B3" s="21" t="s">
        <v>138</v>
      </c>
      <c r="C3" s="21"/>
      <c r="D3" s="21"/>
      <c r="E3" s="21"/>
      <c r="F3" s="21"/>
      <c r="G3" s="21"/>
      <c r="H3" s="21"/>
      <c r="I3" s="21"/>
      <c r="J3" s="21"/>
      <c r="K3" s="21"/>
      <c r="L3" s="21"/>
      <c r="M3" s="21"/>
    </row>
    <row r="4" customFormat="false" ht="15" hidden="false" customHeight="true" outlineLevel="0" collapsed="false"/>
    <row r="5" customFormat="false" ht="15" hidden="false" customHeight="true" outlineLevel="0" collapsed="false">
      <c r="B5" s="22" t="s">
        <v>103</v>
      </c>
      <c r="C5" s="22" t="s">
        <v>139</v>
      </c>
      <c r="D5" s="22" t="s">
        <v>140</v>
      </c>
      <c r="E5" s="22" t="s">
        <v>141</v>
      </c>
      <c r="F5" s="22" t="s">
        <v>142</v>
      </c>
      <c r="G5" s="22" t="s">
        <v>143</v>
      </c>
      <c r="H5" s="22" t="s">
        <v>144</v>
      </c>
      <c r="I5" s="22" t="s">
        <v>145</v>
      </c>
      <c r="J5" s="22" t="s">
        <v>146</v>
      </c>
      <c r="K5" s="22" t="s">
        <v>147</v>
      </c>
      <c r="L5" s="22" t="s">
        <v>148</v>
      </c>
      <c r="M5" s="22" t="s">
        <v>149</v>
      </c>
    </row>
    <row r="6" customFormat="false" ht="13.5" hidden="false" customHeight="true" outlineLevel="0" collapsed="false">
      <c r="B6" s="34" t="s">
        <v>150</v>
      </c>
      <c r="C6" s="35" t="n">
        <v>2025</v>
      </c>
      <c r="D6" s="35" t="n">
        <v>2026</v>
      </c>
      <c r="E6" s="35" t="n">
        <v>2027</v>
      </c>
      <c r="F6" s="35" t="n">
        <v>2028</v>
      </c>
      <c r="G6" s="35" t="n">
        <v>2029</v>
      </c>
      <c r="H6" s="35" t="n">
        <v>2030</v>
      </c>
      <c r="I6" s="35" t="n">
        <v>2031</v>
      </c>
      <c r="J6" s="35" t="n">
        <v>2032</v>
      </c>
      <c r="K6" s="35" t="n">
        <v>2033</v>
      </c>
      <c r="L6" s="35" t="n">
        <v>2034</v>
      </c>
    </row>
    <row r="7" customFormat="false" ht="15" hidden="false" customHeight="true" outlineLevel="0" collapsed="false"/>
    <row r="8" customFormat="false" ht="15" hidden="false" customHeight="true" outlineLevel="0" collapsed="false">
      <c r="B8" s="14" t="s">
        <v>51</v>
      </c>
      <c r="C8" s="14"/>
      <c r="D8" s="14"/>
      <c r="E8" s="14"/>
      <c r="F8" s="14"/>
      <c r="G8" s="14"/>
      <c r="H8" s="14"/>
      <c r="I8" s="14"/>
      <c r="J8" s="14"/>
      <c r="K8" s="14"/>
      <c r="L8" s="14"/>
      <c r="M8" s="14"/>
    </row>
    <row r="9" customFormat="false" ht="15" hidden="false" customHeight="true" outlineLevel="0" collapsed="false">
      <c r="B9" s="15" t="s">
        <v>151</v>
      </c>
      <c r="C9" s="36" t="n">
        <f aca="false">Assumptions!C6*Assumptions!C12*12</f>
        <v>18189000</v>
      </c>
      <c r="D9" s="36" t="n">
        <f aca="false">C9*(1+Assumptions!C13)</f>
        <v>18734670</v>
      </c>
      <c r="E9" s="36" t="n">
        <f aca="false">D9*(1+Assumptions!C13)</f>
        <v>19296710.1</v>
      </c>
      <c r="F9" s="36" t="n">
        <f aca="false">E9*(1+Assumptions!C13)</f>
        <v>19875611.403</v>
      </c>
      <c r="G9" s="36" t="n">
        <f aca="false">F9*(1+Assumptions!C13)</f>
        <v>20471879.74509</v>
      </c>
      <c r="H9" s="36" t="n">
        <f aca="false">G9*(1+Assumptions!C14)</f>
        <v>20983676.7387172</v>
      </c>
      <c r="I9" s="36" t="n">
        <f aca="false">H9*(1+Assumptions!C14)</f>
        <v>21508268.6571852</v>
      </c>
      <c r="J9" s="36" t="n">
        <f aca="false">I9*(1+Assumptions!C14)</f>
        <v>22045975.3736148</v>
      </c>
      <c r="K9" s="36" t="n">
        <f aca="false">J9*(1+Assumptions!C14)</f>
        <v>22597124.7579552</v>
      </c>
      <c r="L9" s="36" t="n">
        <f aca="false">K9*(1+Assumptions!C14)</f>
        <v>23162052.876904</v>
      </c>
    </row>
    <row r="10" customFormat="false" ht="15" hidden="false" customHeight="true" outlineLevel="0" collapsed="false">
      <c r="B10" s="15" t="s">
        <v>109</v>
      </c>
      <c r="C10" s="37" t="n">
        <f aca="false">-(1-Assumptions!C10)*C9</f>
        <v>-636615.000000001</v>
      </c>
      <c r="D10" s="37" t="n">
        <f aca="false">-(1-Assumptions!C11)*D9</f>
        <v>-468366.75</v>
      </c>
      <c r="E10" s="37" t="n">
        <f aca="false">-(1-Assumptions!C11)*E9</f>
        <v>-482417.7525</v>
      </c>
      <c r="F10" s="37" t="n">
        <f aca="false">-(1-Assumptions!C11)*F9</f>
        <v>-496890.285075001</v>
      </c>
      <c r="G10" s="37" t="n">
        <f aca="false">-(1-Assumptions!C11)*G9</f>
        <v>-511796.993627251</v>
      </c>
      <c r="H10" s="37" t="n">
        <f aca="false">-(1-Assumptions!C11)*H9</f>
        <v>-524591.918467932</v>
      </c>
      <c r="I10" s="37" t="n">
        <f aca="false">-(1-Assumptions!C11)*I9</f>
        <v>-537706.71642963</v>
      </c>
      <c r="J10" s="37" t="n">
        <f aca="false">-(1-Assumptions!C11)*J9</f>
        <v>-551149.384340371</v>
      </c>
      <c r="K10" s="37" t="n">
        <f aca="false">-(1-Assumptions!C11)*K9</f>
        <v>-564928.11894888</v>
      </c>
      <c r="L10" s="37" t="n">
        <f aca="false">-(1-Assumptions!C11)*L9</f>
        <v>-579051.321922602</v>
      </c>
    </row>
    <row r="11" customFormat="false" ht="15" hidden="false" customHeight="true" outlineLevel="0" collapsed="false">
      <c r="B11" s="15" t="s">
        <v>152</v>
      </c>
      <c r="C11" s="36" t="n">
        <f aca="false">Assumptions!C15*Assumptions!C6</f>
        <v>338400</v>
      </c>
      <c r="D11" s="36" t="n">
        <f aca="false">C11*(1+Assumptions!C16)</f>
        <v>345168</v>
      </c>
      <c r="E11" s="36" t="n">
        <f aca="false">D11*(1+Assumptions!C16)</f>
        <v>352071.36</v>
      </c>
      <c r="F11" s="36" t="n">
        <f aca="false">E11*(1+Assumptions!C16)</f>
        <v>359112.7872</v>
      </c>
      <c r="G11" s="36" t="n">
        <f aca="false">F11*(1+Assumptions!C16)</f>
        <v>366295.042944</v>
      </c>
      <c r="H11" s="36" t="n">
        <f aca="false">G11*(1+Assumptions!C16)</f>
        <v>373620.94380288</v>
      </c>
      <c r="I11" s="36" t="n">
        <f aca="false">H11*(1+Assumptions!C16)</f>
        <v>381093.362678938</v>
      </c>
      <c r="J11" s="36" t="n">
        <f aca="false">I11*(1+Assumptions!C16)</f>
        <v>388715.229932516</v>
      </c>
      <c r="K11" s="36" t="n">
        <f aca="false">J11*(1+Assumptions!C16)</f>
        <v>396489.534531167</v>
      </c>
      <c r="L11" s="36" t="n">
        <f aca="false">K11*(1+Assumptions!C16)</f>
        <v>404419.32522179</v>
      </c>
    </row>
    <row r="12" customFormat="false" ht="15" hidden="false" customHeight="true" outlineLevel="0" collapsed="false">
      <c r="B12" s="27" t="s">
        <v>113</v>
      </c>
      <c r="C12" s="38" t="n">
        <f aca="false">C9+C10+C11</f>
        <v>17890785</v>
      </c>
      <c r="D12" s="38" t="n">
        <f aca="false">D9+D10+D11</f>
        <v>18611471.25</v>
      </c>
      <c r="E12" s="38" t="n">
        <f aca="false">E9+E10+E11</f>
        <v>19166363.7075</v>
      </c>
      <c r="F12" s="38" t="n">
        <f aca="false">F9+F10+F11</f>
        <v>19737833.905125</v>
      </c>
      <c r="G12" s="38" t="n">
        <f aca="false">G9+G10+G11</f>
        <v>20326377.7944068</v>
      </c>
      <c r="H12" s="38" t="n">
        <f aca="false">H9+H10+H11</f>
        <v>20832705.7640522</v>
      </c>
      <c r="I12" s="38" t="n">
        <f aca="false">I9+I10+I11</f>
        <v>21351655.3034345</v>
      </c>
      <c r="J12" s="38" t="n">
        <f aca="false">J9+J10+J11</f>
        <v>21883541.2192069</v>
      </c>
      <c r="K12" s="38" t="n">
        <f aca="false">K9+K10+K11</f>
        <v>22428686.1735375</v>
      </c>
      <c r="L12" s="38" t="n">
        <f aca="false">L9+L10+L11</f>
        <v>22987420.8802032</v>
      </c>
    </row>
    <row r="13" customFormat="false" ht="15" hidden="false" customHeight="true" outlineLevel="0" collapsed="false"/>
    <row r="14" customFormat="false" ht="15" hidden="false" customHeight="true" outlineLevel="0" collapsed="false">
      <c r="B14" s="14" t="s">
        <v>66</v>
      </c>
      <c r="C14" s="14"/>
      <c r="D14" s="14"/>
      <c r="E14" s="14"/>
      <c r="F14" s="14"/>
      <c r="G14" s="14"/>
      <c r="H14" s="14"/>
      <c r="I14" s="14"/>
      <c r="J14" s="14"/>
      <c r="K14" s="14"/>
      <c r="L14" s="14"/>
      <c r="M14" s="14"/>
    </row>
    <row r="15" customFormat="false" ht="15" hidden="false" customHeight="true" outlineLevel="0" collapsed="false">
      <c r="B15" s="15" t="s">
        <v>114</v>
      </c>
      <c r="C15" s="37" t="n">
        <f aca="false">-Assumptions!C19*Assumptions!C6</f>
        <v>-1974000</v>
      </c>
      <c r="D15" s="37" t="n">
        <f aca="false">C15*(1+Assumptions!C25)</f>
        <v>-2023350</v>
      </c>
      <c r="E15" s="37" t="n">
        <f aca="false">D15*(1+Assumptions!C25)</f>
        <v>-2073933.75</v>
      </c>
      <c r="F15" s="37" t="n">
        <f aca="false">E15*(1+Assumptions!C25)</f>
        <v>-2125782.09375</v>
      </c>
      <c r="G15" s="37" t="n">
        <f aca="false">F15*(1+Assumptions!C25)</f>
        <v>-2178926.64609375</v>
      </c>
      <c r="H15" s="37" t="n">
        <f aca="false">G15*(1+Assumptions!C25)</f>
        <v>-2233399.81224609</v>
      </c>
      <c r="I15" s="37" t="n">
        <f aca="false">H15*(1+Assumptions!C25)</f>
        <v>-2289234.80755225</v>
      </c>
      <c r="J15" s="37" t="n">
        <f aca="false">I15*(1+Assumptions!C25)</f>
        <v>-2346465.67774105</v>
      </c>
      <c r="K15" s="37" t="n">
        <f aca="false">J15*(1+Assumptions!C25)</f>
        <v>-2405127.31968458</v>
      </c>
      <c r="L15" s="37" t="n">
        <f aca="false">K15*(1+Assumptions!C25)</f>
        <v>-2465255.50267669</v>
      </c>
    </row>
    <row r="16" customFormat="false" ht="15" hidden="false" customHeight="true" outlineLevel="0" collapsed="false">
      <c r="B16" s="15" t="s">
        <v>116</v>
      </c>
      <c r="C16" s="37" t="n">
        <f aca="false">-Assumptions!C20*Assumptions!C6</f>
        <v>-267900</v>
      </c>
      <c r="D16" s="37" t="n">
        <f aca="false">C16*(1+Assumptions!C25)</f>
        <v>-274597.5</v>
      </c>
      <c r="E16" s="37" t="n">
        <f aca="false">D16*(1+Assumptions!C25)</f>
        <v>-281462.4375</v>
      </c>
      <c r="F16" s="37" t="n">
        <f aca="false">E16*(1+Assumptions!C25)</f>
        <v>-288498.9984375</v>
      </c>
      <c r="G16" s="37" t="n">
        <f aca="false">F16*(1+Assumptions!C25)</f>
        <v>-295711.473398437</v>
      </c>
      <c r="H16" s="37" t="n">
        <f aca="false">G16*(1+Assumptions!C25)</f>
        <v>-303104.260233398</v>
      </c>
      <c r="I16" s="37" t="n">
        <f aca="false">H16*(1+Assumptions!C25)</f>
        <v>-310681.866739233</v>
      </c>
      <c r="J16" s="37" t="n">
        <f aca="false">I16*(1+Assumptions!C25)</f>
        <v>-318448.913407714</v>
      </c>
      <c r="K16" s="37" t="n">
        <f aca="false">J16*(1+Assumptions!C25)</f>
        <v>-326410.136242907</v>
      </c>
      <c r="L16" s="37" t="n">
        <f aca="false">K16*(1+Assumptions!C25)</f>
        <v>-334570.38964898</v>
      </c>
    </row>
    <row r="17" customFormat="false" ht="15" hidden="false" customHeight="true" outlineLevel="0" collapsed="false">
      <c r="B17" s="15" t="s">
        <v>153</v>
      </c>
      <c r="C17" s="37" t="n">
        <f aca="false">-Assumptions!C21*C12</f>
        <v>-715631.4</v>
      </c>
      <c r="D17" s="37" t="n">
        <f aca="false">-Assumptions!C21*D12</f>
        <v>-744458.85</v>
      </c>
      <c r="E17" s="37" t="n">
        <f aca="false">-Assumptions!C21*E12</f>
        <v>-766654.5483</v>
      </c>
      <c r="F17" s="37" t="n">
        <f aca="false">-Assumptions!C21*F12</f>
        <v>-789513.356205</v>
      </c>
      <c r="G17" s="37" t="n">
        <f aca="false">-Assumptions!C21*G12</f>
        <v>-813055.11177627</v>
      </c>
      <c r="H17" s="37" t="n">
        <f aca="false">-Assumptions!C21*H12</f>
        <v>-833308.230562088</v>
      </c>
      <c r="I17" s="37" t="n">
        <f aca="false">-Assumptions!C21*I12</f>
        <v>-854066.212137379</v>
      </c>
      <c r="J17" s="37" t="n">
        <f aca="false">-Assumptions!C21*J12</f>
        <v>-875341.648768278</v>
      </c>
      <c r="K17" s="37" t="n">
        <f aca="false">-Assumptions!C21*K12</f>
        <v>-897147.446941498</v>
      </c>
      <c r="L17" s="37" t="n">
        <f aca="false">-Assumptions!C21*L12</f>
        <v>-919496.83520813</v>
      </c>
    </row>
    <row r="18" customFormat="false" ht="15" hidden="false" customHeight="true" outlineLevel="0" collapsed="false">
      <c r="B18" s="15" t="s">
        <v>120</v>
      </c>
      <c r="C18" s="37" t="n">
        <f aca="false">-Assumptions!C22*Assumptions!C6</f>
        <v>-669750</v>
      </c>
      <c r="D18" s="37" t="n">
        <f aca="false">C18*(1+Assumptions!C25)</f>
        <v>-686493.75</v>
      </c>
      <c r="E18" s="37" t="n">
        <f aca="false">D18*(1+Assumptions!C25)</f>
        <v>-703656.09375</v>
      </c>
      <c r="F18" s="37" t="n">
        <f aca="false">E18*(1+Assumptions!C25)</f>
        <v>-721247.49609375</v>
      </c>
      <c r="G18" s="37" t="n">
        <f aca="false">F18*(1+Assumptions!C25)</f>
        <v>-739278.683496093</v>
      </c>
      <c r="H18" s="37" t="n">
        <f aca="false">G18*(1+Assumptions!C25)</f>
        <v>-757760.650583496</v>
      </c>
      <c r="I18" s="37" t="n">
        <f aca="false">H18*(1+Assumptions!C25)</f>
        <v>-776704.666848083</v>
      </c>
      <c r="J18" s="37" t="n">
        <f aca="false">I18*(1+Assumptions!C25)</f>
        <v>-796122.283519285</v>
      </c>
      <c r="K18" s="37" t="n">
        <f aca="false">J18*(1+Assumptions!C25)</f>
        <v>-816025.340607267</v>
      </c>
      <c r="L18" s="37" t="n">
        <f aca="false">K18*(1+Assumptions!C25)</f>
        <v>-836425.974122449</v>
      </c>
    </row>
    <row r="19" customFormat="false" ht="15" hidden="false" customHeight="true" outlineLevel="0" collapsed="false">
      <c r="B19" s="15" t="s">
        <v>122</v>
      </c>
      <c r="C19" s="37" t="n">
        <f aca="false">-Assumptions!C23*Assumptions!C6</f>
        <v>-507600</v>
      </c>
      <c r="D19" s="37" t="n">
        <f aca="false">C19*(1+Assumptions!C25)</f>
        <v>-520290</v>
      </c>
      <c r="E19" s="37" t="n">
        <f aca="false">D19*(1+Assumptions!C25)</f>
        <v>-533297.25</v>
      </c>
      <c r="F19" s="37" t="n">
        <f aca="false">E19*(1+Assumptions!C25)</f>
        <v>-546629.68125</v>
      </c>
      <c r="G19" s="37" t="n">
        <f aca="false">F19*(1+Assumptions!C25)</f>
        <v>-560295.42328125</v>
      </c>
      <c r="H19" s="37" t="n">
        <f aca="false">G19*(1+Assumptions!C25)</f>
        <v>-574302.808863281</v>
      </c>
      <c r="I19" s="37" t="n">
        <f aca="false">H19*(1+Assumptions!C25)</f>
        <v>-588660.379084863</v>
      </c>
      <c r="J19" s="37" t="n">
        <f aca="false">I19*(1+Assumptions!C25)</f>
        <v>-603376.888561984</v>
      </c>
      <c r="K19" s="37" t="n">
        <f aca="false">J19*(1+Assumptions!C25)</f>
        <v>-618461.310776034</v>
      </c>
      <c r="L19" s="37" t="n">
        <f aca="false">K19*(1+Assumptions!C25)</f>
        <v>-633922.843545435</v>
      </c>
    </row>
    <row r="20" customFormat="false" ht="15" hidden="false" customHeight="true" outlineLevel="0" collapsed="false">
      <c r="B20" s="15" t="s">
        <v>124</v>
      </c>
      <c r="C20" s="37" t="n">
        <f aca="false">-Assumptions!C24*Assumptions!C6</f>
        <v>-296100</v>
      </c>
      <c r="D20" s="37" t="n">
        <f aca="false">C20*(1+Assumptions!C25)</f>
        <v>-303502.5</v>
      </c>
      <c r="E20" s="37" t="n">
        <f aca="false">D20*(1+Assumptions!C25)</f>
        <v>-311090.0625</v>
      </c>
      <c r="F20" s="37" t="n">
        <f aca="false">E20*(1+Assumptions!C25)</f>
        <v>-318867.3140625</v>
      </c>
      <c r="G20" s="37" t="n">
        <f aca="false">F20*(1+Assumptions!C25)</f>
        <v>-326838.996914062</v>
      </c>
      <c r="H20" s="37" t="n">
        <f aca="false">G20*(1+Assumptions!C25)</f>
        <v>-335009.971836914</v>
      </c>
      <c r="I20" s="37" t="n">
        <f aca="false">H20*(1+Assumptions!C25)</f>
        <v>-343385.221132837</v>
      </c>
      <c r="J20" s="37" t="n">
        <f aca="false">I20*(1+Assumptions!C25)</f>
        <v>-351969.851661158</v>
      </c>
      <c r="K20" s="37" t="n">
        <f aca="false">J20*(1+Assumptions!C25)</f>
        <v>-360769.097952687</v>
      </c>
      <c r="L20" s="37" t="n">
        <f aca="false">K20*(1+Assumptions!C25)</f>
        <v>-369788.325401504</v>
      </c>
    </row>
    <row r="21" customFormat="false" ht="15" hidden="false" customHeight="true" outlineLevel="0" collapsed="false">
      <c r="B21" s="15" t="s">
        <v>154</v>
      </c>
      <c r="C21" s="37" t="n">
        <f aca="false">-Assumptions!C26*Assumptions!C6</f>
        <v>-282000</v>
      </c>
      <c r="D21" s="37" t="n">
        <f aca="false">C21*(1+Assumptions!C25)</f>
        <v>-289050</v>
      </c>
      <c r="E21" s="37" t="n">
        <f aca="false">D21*(1+Assumptions!C25)</f>
        <v>-296276.25</v>
      </c>
      <c r="F21" s="37" t="n">
        <f aca="false">E21*(1+Assumptions!C25)</f>
        <v>-303683.15625</v>
      </c>
      <c r="G21" s="37" t="n">
        <f aca="false">F21*(1+Assumptions!C25)</f>
        <v>-311275.23515625</v>
      </c>
      <c r="H21" s="37" t="n">
        <f aca="false">G21*(1+Assumptions!C25)</f>
        <v>-319057.116035156</v>
      </c>
      <c r="I21" s="37" t="n">
        <f aca="false">H21*(1+Assumptions!C25)</f>
        <v>-327033.543936035</v>
      </c>
      <c r="J21" s="37" t="n">
        <f aca="false">I21*(1+Assumptions!C25)</f>
        <v>-335209.382534436</v>
      </c>
      <c r="K21" s="37" t="n">
        <f aca="false">J21*(1+Assumptions!C25)</f>
        <v>-343589.617097797</v>
      </c>
      <c r="L21" s="37" t="n">
        <f aca="false">K21*(1+Assumptions!C25)</f>
        <v>-352179.357525242</v>
      </c>
    </row>
    <row r="22" customFormat="false" ht="15" hidden="false" customHeight="true" outlineLevel="0" collapsed="false">
      <c r="B22" s="27" t="s">
        <v>126</v>
      </c>
      <c r="C22" s="39" t="n">
        <f aca="false">SUM(C15:C21)</f>
        <v>-4712981.4</v>
      </c>
      <c r="D22" s="39" t="n">
        <f aca="false">SUM(D15:D21)</f>
        <v>-4841742.6</v>
      </c>
      <c r="E22" s="39" t="n">
        <f aca="false">SUM(E15:E21)</f>
        <v>-4966370.39205</v>
      </c>
      <c r="F22" s="39" t="n">
        <f aca="false">SUM(F15:F21)</f>
        <v>-5094222.09604875</v>
      </c>
      <c r="G22" s="39" t="n">
        <f aca="false">SUM(G15:G21)</f>
        <v>-5225381.57011611</v>
      </c>
      <c r="H22" s="39" t="n">
        <f aca="false">SUM(H15:H21)</f>
        <v>-5355942.85036043</v>
      </c>
      <c r="I22" s="39" t="n">
        <f aca="false">SUM(I15:I21)</f>
        <v>-5489766.69743068</v>
      </c>
      <c r="J22" s="39" t="n">
        <f aca="false">SUM(J15:J21)</f>
        <v>-5626934.64619391</v>
      </c>
      <c r="K22" s="39" t="n">
        <f aca="false">SUM(K15:K21)</f>
        <v>-5767530.26930277</v>
      </c>
      <c r="L22" s="39" t="n">
        <f aca="false">SUM(L15:L21)</f>
        <v>-5911639.22812843</v>
      </c>
    </row>
    <row r="23" customFormat="false" ht="15" hidden="false" customHeight="true" outlineLevel="0" collapsed="false"/>
    <row r="24" customFormat="false" ht="18" hidden="false" customHeight="true" outlineLevel="0" collapsed="false">
      <c r="B24" s="30" t="s">
        <v>127</v>
      </c>
      <c r="C24" s="40" t="n">
        <f aca="false">C12+C22</f>
        <v>13177803.6</v>
      </c>
      <c r="D24" s="40" t="n">
        <f aca="false">D12+D22</f>
        <v>13769728.65</v>
      </c>
      <c r="E24" s="40" t="n">
        <f aca="false">E12+E22</f>
        <v>14199993.31545</v>
      </c>
      <c r="F24" s="40" t="n">
        <f aca="false">F12+F22</f>
        <v>14643611.8090763</v>
      </c>
      <c r="G24" s="40" t="n">
        <f aca="false">G12+G22</f>
        <v>15100996.2242906</v>
      </c>
      <c r="H24" s="40" t="n">
        <f aca="false">H12+H22</f>
        <v>15476762.9136918</v>
      </c>
      <c r="I24" s="40" t="n">
        <f aca="false">I12+I22</f>
        <v>15861888.6060038</v>
      </c>
      <c r="J24" s="40" t="n">
        <f aca="false">J12+J22</f>
        <v>16256606.573013</v>
      </c>
      <c r="K24" s="40" t="n">
        <f aca="false">K12+K22</f>
        <v>16661155.9042347</v>
      </c>
      <c r="L24" s="40" t="n">
        <f aca="false">L12+L22</f>
        <v>17075781.6520748</v>
      </c>
    </row>
    <row r="25" customFormat="false" ht="15" hidden="false" customHeight="true" outlineLevel="0" collapsed="false"/>
    <row r="26" customFormat="false" ht="15" hidden="false" customHeight="true" outlineLevel="0" collapsed="false">
      <c r="B26" s="14" t="s">
        <v>155</v>
      </c>
      <c r="C26" s="14"/>
      <c r="D26" s="14"/>
      <c r="E26" s="14"/>
      <c r="F26" s="14"/>
      <c r="G26" s="14"/>
      <c r="H26" s="14"/>
      <c r="I26" s="14"/>
      <c r="J26" s="14"/>
      <c r="K26" s="14"/>
      <c r="L26" s="14"/>
      <c r="M26" s="14"/>
    </row>
    <row r="27" customFormat="false" ht="15" hidden="false" customHeight="true" outlineLevel="0" collapsed="false">
      <c r="B27" s="15" t="s">
        <v>156</v>
      </c>
      <c r="C27" s="36" t="n">
        <f aca="false">Assumptions!C5*Assumptions!C29</f>
        <v>171860000</v>
      </c>
      <c r="D27" s="36"/>
      <c r="E27" s="36"/>
      <c r="F27" s="36"/>
      <c r="G27" s="36"/>
      <c r="H27" s="36"/>
      <c r="I27" s="36"/>
      <c r="J27" s="36"/>
      <c r="K27" s="36"/>
      <c r="L27" s="36"/>
    </row>
    <row r="28" customFormat="false" ht="15" hidden="false" customHeight="true" outlineLevel="0" collapsed="false">
      <c r="B28" s="15" t="s">
        <v>157</v>
      </c>
      <c r="C28" s="37" t="n">
        <f aca="false">PMT(Assumptions!C30/12,Assumptions!C31*12,-C27)*12</f>
        <v>10758037.350171</v>
      </c>
      <c r="D28" s="37" t="n">
        <f aca="false">PMT(Assumptions!C30/12,Assumptions!C31*12,-C27)*12</f>
        <v>10758037.350171</v>
      </c>
      <c r="E28" s="37" t="n">
        <f aca="false">PMT(Assumptions!C30/12,Assumptions!C31*12,-C27)*12</f>
        <v>10758037.350171</v>
      </c>
      <c r="F28" s="37" t="n">
        <f aca="false">PMT(Assumptions!C30/12,Assumptions!C31*12,-C27)*12</f>
        <v>10758037.350171</v>
      </c>
      <c r="G28" s="37" t="n">
        <f aca="false">PMT(Assumptions!C30/12,Assumptions!C31*12,-C27)*12</f>
        <v>10758037.350171</v>
      </c>
      <c r="H28" s="37" t="n">
        <f aca="false">PMT(Assumptions!C30/12,Assumptions!C31*12,-C27)*12</f>
        <v>10758037.350171</v>
      </c>
      <c r="I28" s="37" t="n">
        <f aca="false">PMT(Assumptions!C30/12,Assumptions!C31*12,-C27)*12</f>
        <v>10758037.350171</v>
      </c>
      <c r="J28" s="37" t="n">
        <f aca="false">PMT(Assumptions!C30/12,Assumptions!C31*12,-C27)*12</f>
        <v>10758037.350171</v>
      </c>
      <c r="K28" s="37" t="n">
        <f aca="false">PMT(Assumptions!C30/12,Assumptions!C31*12,-C27)*12</f>
        <v>10758037.350171</v>
      </c>
      <c r="L28" s="37" t="n">
        <f aca="false">PMT(Assumptions!C30/12,Assumptions!C31*12,-C27)*12</f>
        <v>10758037.350171</v>
      </c>
    </row>
    <row r="29" customFormat="false" ht="15" hidden="false" customHeight="true" outlineLevel="0" collapsed="false">
      <c r="B29" s="41" t="s">
        <v>158</v>
      </c>
      <c r="C29" s="42" t="n">
        <f aca="false">C24+C28</f>
        <v>23935840.950171</v>
      </c>
      <c r="D29" s="42" t="n">
        <f aca="false">D24+D28</f>
        <v>24527766.000171</v>
      </c>
      <c r="E29" s="42" t="n">
        <f aca="false">E24+E28</f>
        <v>24958030.665621</v>
      </c>
      <c r="F29" s="42" t="n">
        <f aca="false">F24+F28</f>
        <v>25401649.1592472</v>
      </c>
      <c r="G29" s="42" t="n">
        <f aca="false">G24+G28</f>
        <v>25859033.5744616</v>
      </c>
      <c r="H29" s="42" t="n">
        <f aca="false">H24+H28</f>
        <v>26234800.2638627</v>
      </c>
      <c r="I29" s="42" t="n">
        <f aca="false">I24+I28</f>
        <v>26619925.9561748</v>
      </c>
      <c r="J29" s="42" t="n">
        <f aca="false">J24+J28</f>
        <v>27014643.923184</v>
      </c>
      <c r="K29" s="42" t="n">
        <f aca="false">K24+K28</f>
        <v>27419193.2544056</v>
      </c>
      <c r="L29" s="42" t="n">
        <f aca="false">L24+L28</f>
        <v>27833819.0022458</v>
      </c>
    </row>
    <row r="30" customFormat="false" ht="15" hidden="false" customHeight="true" outlineLevel="0" collapsed="false"/>
    <row r="31" customFormat="false" ht="15" hidden="false" customHeight="true" outlineLevel="0" collapsed="false">
      <c r="B31" s="14" t="s">
        <v>159</v>
      </c>
      <c r="C31" s="14"/>
      <c r="D31" s="14"/>
      <c r="E31" s="14"/>
      <c r="F31" s="14"/>
      <c r="G31" s="14"/>
      <c r="H31" s="14"/>
      <c r="I31" s="14"/>
      <c r="J31" s="14"/>
      <c r="K31" s="14"/>
      <c r="L31" s="14"/>
      <c r="M31" s="14"/>
    </row>
    <row r="32" customFormat="false" ht="15" hidden="false" customHeight="true" outlineLevel="0" collapsed="false">
      <c r="B32" s="15" t="s">
        <v>160</v>
      </c>
      <c r="M32" s="36" t="n">
        <f aca="false">L24*(1+Assumptions!C14)</f>
        <v>17502676.1933767</v>
      </c>
    </row>
    <row r="33" customFormat="false" ht="15" hidden="false" customHeight="true" outlineLevel="0" collapsed="false">
      <c r="B33" s="15" t="s">
        <v>161</v>
      </c>
      <c r="M33" s="36" t="n">
        <f aca="false">M32/Assumptions!C36</f>
        <v>350053523.867534</v>
      </c>
    </row>
    <row r="34" customFormat="false" ht="15" hidden="false" customHeight="true" outlineLevel="0" collapsed="false">
      <c r="B34" s="15" t="s">
        <v>162</v>
      </c>
      <c r="M34" s="37" t="n">
        <f aca="false">-Assumptions!C37*M33</f>
        <v>-5250802.858013</v>
      </c>
    </row>
    <row r="35" customFormat="false" ht="15" hidden="false" customHeight="true" outlineLevel="0" collapsed="false">
      <c r="B35" s="15" t="s">
        <v>163</v>
      </c>
      <c r="M35" s="37" t="n">
        <f aca="false">-PV(Assumptions!C30/12,(Assumptions!C31-Assumptions!C32)*12,PMT(Assumptions!C30/12,Assumptions!C31*12,-C27))</f>
        <v>138729547.169186</v>
      </c>
    </row>
    <row r="36" customFormat="false" ht="15" hidden="false" customHeight="true" outlineLevel="0" collapsed="false">
      <c r="B36" s="30" t="s">
        <v>164</v>
      </c>
      <c r="M36" s="40" t="n">
        <f aca="false">M33+M34+M35</f>
        <v>483532268.178707</v>
      </c>
    </row>
    <row r="37" customFormat="false" ht="15" hidden="false" customHeight="true" outlineLevel="0" collapsed="false"/>
    <row r="38" customFormat="false" ht="15" hidden="false" customHeight="true" outlineLevel="0" collapsed="false">
      <c r="B38" s="14" t="s">
        <v>165</v>
      </c>
      <c r="C38" s="14"/>
      <c r="D38" s="14"/>
      <c r="E38" s="14"/>
      <c r="F38" s="14"/>
      <c r="G38" s="14"/>
      <c r="H38" s="14"/>
      <c r="I38" s="14"/>
      <c r="J38" s="14"/>
      <c r="K38" s="14"/>
      <c r="L38" s="14"/>
      <c r="M38" s="14"/>
    </row>
    <row r="39" customFormat="false" ht="15" hidden="false" customHeight="true" outlineLevel="0" collapsed="false">
      <c r="B39" s="15" t="s">
        <v>166</v>
      </c>
      <c r="C39" s="36" t="n">
        <f aca="false">Assumptions!C5-C27</f>
        <v>92540000</v>
      </c>
      <c r="D39" s="36"/>
      <c r="E39" s="36"/>
      <c r="F39" s="36"/>
      <c r="G39" s="36"/>
      <c r="H39" s="36"/>
      <c r="I39" s="36"/>
      <c r="J39" s="36"/>
      <c r="K39" s="36"/>
      <c r="L39" s="36"/>
    </row>
    <row r="40" customFormat="false" ht="15" hidden="false" customHeight="true" outlineLevel="0" collapsed="false">
      <c r="B40" s="15" t="s">
        <v>167</v>
      </c>
      <c r="C40" s="43" t="n">
        <f aca="false">IRR(C50:M50)</f>
        <v>0.077803424374373</v>
      </c>
      <c r="D40" s="43"/>
      <c r="E40" s="43"/>
      <c r="F40" s="43"/>
      <c r="G40" s="43"/>
      <c r="H40" s="43"/>
      <c r="I40" s="43"/>
      <c r="J40" s="43"/>
      <c r="K40" s="43"/>
      <c r="L40" s="43"/>
    </row>
    <row r="41" customFormat="false" ht="15" hidden="false" customHeight="true" outlineLevel="0" collapsed="false">
      <c r="B41" s="15" t="s">
        <v>168</v>
      </c>
      <c r="C41" s="44" t="n">
        <f aca="false">IRR(C51:M51)</f>
        <v>0.348640527300114</v>
      </c>
      <c r="D41" s="44"/>
      <c r="E41" s="44"/>
      <c r="F41" s="44"/>
      <c r="G41" s="44"/>
      <c r="H41" s="44"/>
      <c r="I41" s="44"/>
      <c r="J41" s="44"/>
      <c r="K41" s="44"/>
      <c r="L41" s="44"/>
    </row>
    <row r="42" customFormat="false" ht="15" hidden="false" customHeight="true" outlineLevel="0" collapsed="false">
      <c r="B42" s="15" t="s">
        <v>169</v>
      </c>
      <c r="C42" s="45" t="n">
        <f aca="false">(SUM(C29:L29)+M36+C39)/C39</f>
        <v>9.0326018038497</v>
      </c>
      <c r="D42" s="45"/>
      <c r="E42" s="45"/>
      <c r="F42" s="45"/>
      <c r="G42" s="45"/>
      <c r="H42" s="45"/>
      <c r="I42" s="45"/>
      <c r="J42" s="45"/>
      <c r="K42" s="45"/>
      <c r="L42" s="45"/>
    </row>
    <row r="43" customFormat="false" ht="15" hidden="false" customHeight="true" outlineLevel="0" collapsed="false">
      <c r="B43" s="15" t="s">
        <v>170</v>
      </c>
      <c r="C43" s="32" t="n">
        <f aca="false">C24/Assumptions!C5</f>
        <v>0.0498404069591528</v>
      </c>
      <c r="D43" s="32"/>
      <c r="E43" s="32"/>
      <c r="F43" s="32"/>
      <c r="G43" s="32"/>
      <c r="H43" s="32"/>
      <c r="I43" s="32"/>
      <c r="J43" s="32"/>
      <c r="K43" s="32"/>
      <c r="L43" s="32"/>
    </row>
    <row r="44" customFormat="false" ht="15" hidden="false" customHeight="true" outlineLevel="0" collapsed="false">
      <c r="B44" s="15" t="s">
        <v>95</v>
      </c>
      <c r="C44" s="32" t="n">
        <f aca="false">Assumptions!C32</f>
        <v>10</v>
      </c>
      <c r="D44" s="32"/>
      <c r="E44" s="32"/>
      <c r="F44" s="32"/>
      <c r="G44" s="32"/>
      <c r="H44" s="32"/>
      <c r="I44" s="32"/>
      <c r="J44" s="32"/>
      <c r="K44" s="32"/>
      <c r="L44" s="32"/>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true" customHeight="true" outlineLevel="0" collapsed="false">
      <c r="B50" s="46" t="s">
        <v>171</v>
      </c>
      <c r="C50" s="1" t="n">
        <f aca="false">-Assumptions!C5</f>
        <v>-264400000</v>
      </c>
      <c r="D50" s="47" t="n">
        <f aca="false">C24</f>
        <v>13177803.6</v>
      </c>
      <c r="E50" s="47" t="n">
        <f aca="false">D24</f>
        <v>13769728.65</v>
      </c>
      <c r="F50" s="47" t="n">
        <f aca="false">E24</f>
        <v>14199993.31545</v>
      </c>
      <c r="G50" s="47" t="n">
        <f aca="false">F24</f>
        <v>14643611.8090763</v>
      </c>
      <c r="H50" s="47" t="n">
        <f aca="false">G24</f>
        <v>15100996.2242906</v>
      </c>
      <c r="I50" s="47" t="n">
        <f aca="false">H24</f>
        <v>15476762.9136918</v>
      </c>
      <c r="J50" s="47" t="n">
        <f aca="false">I24</f>
        <v>15861888.6060038</v>
      </c>
      <c r="K50" s="47" t="n">
        <f aca="false">J24</f>
        <v>16256606.573013</v>
      </c>
      <c r="L50" s="47" t="n">
        <f aca="false">K24</f>
        <v>16661155.9042347</v>
      </c>
      <c r="M50" s="48" t="n">
        <f aca="false">L24+M33+M34</f>
        <v>361878502.661595</v>
      </c>
    </row>
    <row r="51" customFormat="false" ht="15" hidden="true" customHeight="true" outlineLevel="0" collapsed="false">
      <c r="B51" s="46" t="s">
        <v>172</v>
      </c>
      <c r="C51" s="1" t="n">
        <f aca="false">-C39</f>
        <v>-92540000</v>
      </c>
      <c r="D51" s="49" t="n">
        <f aca="false">C29</f>
        <v>23935840.950171</v>
      </c>
      <c r="E51" s="49" t="n">
        <f aca="false">D29</f>
        <v>24527766.000171</v>
      </c>
      <c r="F51" s="49" t="n">
        <f aca="false">E29</f>
        <v>24958030.665621</v>
      </c>
      <c r="G51" s="49" t="n">
        <f aca="false">F29</f>
        <v>25401649.1592472</v>
      </c>
      <c r="H51" s="49" t="n">
        <f aca="false">G29</f>
        <v>25859033.5744616</v>
      </c>
      <c r="I51" s="49" t="n">
        <f aca="false">H29</f>
        <v>26234800.2638627</v>
      </c>
      <c r="J51" s="49" t="n">
        <f aca="false">I29</f>
        <v>26619925.9561748</v>
      </c>
      <c r="K51" s="49" t="n">
        <f aca="false">J29</f>
        <v>27014643.923184</v>
      </c>
      <c r="L51" s="49" t="n">
        <f aca="false">K29</f>
        <v>27419193.2544056</v>
      </c>
      <c r="M51" s="50" t="n">
        <f aca="false">L29+M36</f>
        <v>511366087.180952</v>
      </c>
    </row>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false" customHeight="true" outlineLevel="0" collapsed="false"/>
    <row r="56" customFormat="false" ht="15" hidden="false" customHeight="true" outlineLevel="0" collapsed="false"/>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sheetData>
  <mergeCells count="14">
    <mergeCell ref="B2:M2"/>
    <mergeCell ref="B3:M3"/>
    <mergeCell ref="B8:M8"/>
    <mergeCell ref="B14:M14"/>
    <mergeCell ref="B26:M26"/>
    <mergeCell ref="C27:L27"/>
    <mergeCell ref="B31:M31"/>
    <mergeCell ref="B38:M38"/>
    <mergeCell ref="C39:L39"/>
    <mergeCell ref="C40:L40"/>
    <mergeCell ref="C41:L41"/>
    <mergeCell ref="C42:L42"/>
    <mergeCell ref="C43:L43"/>
    <mergeCell ref="C44:L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4" min="3" style="1" width="20"/>
    <col collapsed="false" customWidth="true" hidden="false" outlineLevel="0" max="5" min="5" style="1" width="3"/>
  </cols>
  <sheetData>
    <row r="1" customFormat="false" ht="15.75" hidden="false" customHeight="true" outlineLevel="0" collapsed="false"/>
    <row r="2" customFormat="false" ht="30" hidden="false" customHeight="true" outlineLevel="0" collapsed="false">
      <c r="A2" s="2"/>
      <c r="B2" s="13" t="s">
        <v>173</v>
      </c>
      <c r="C2" s="13"/>
      <c r="D2" s="13"/>
      <c r="E2" s="2"/>
    </row>
    <row r="3" customFormat="false" ht="15.75" hidden="false" customHeight="true" outlineLevel="0" collapsed="false">
      <c r="B3" s="21" t="s">
        <v>174</v>
      </c>
      <c r="C3" s="21"/>
      <c r="D3" s="21"/>
    </row>
    <row r="4" customFormat="false" ht="15.75" hidden="false" customHeight="true" outlineLevel="0" collapsed="false"/>
    <row r="5" customFormat="false" ht="15.75" hidden="false" customHeight="true" outlineLevel="0" collapsed="false">
      <c r="B5" s="22"/>
      <c r="C5" s="22" t="s">
        <v>175</v>
      </c>
      <c r="D5" s="22" t="s">
        <v>176</v>
      </c>
    </row>
    <row r="6" customFormat="false" ht="15.75" hidden="false" customHeight="true" outlineLevel="0" collapsed="false">
      <c r="B6" s="14" t="s">
        <v>51</v>
      </c>
      <c r="C6" s="14"/>
      <c r="D6" s="14"/>
    </row>
    <row r="7" customFormat="false" ht="15.75" hidden="false" customHeight="true" outlineLevel="0" collapsed="false">
      <c r="B7" s="15" t="s">
        <v>151</v>
      </c>
      <c r="C7" s="23" t="n">
        <f aca="false">'10-Yr DCF'!C9</f>
        <v>18189000</v>
      </c>
      <c r="D7" s="23" t="n">
        <f aca="false">'10-Yr DCF'!E9</f>
        <v>19296710.1</v>
      </c>
    </row>
    <row r="8" customFormat="false" ht="15.75" hidden="false" customHeight="true" outlineLevel="0" collapsed="false">
      <c r="B8" s="15" t="s">
        <v>177</v>
      </c>
      <c r="C8" s="26" t="n">
        <f aca="false">'10-Yr DCF'!C10</f>
        <v>-636615.000000001</v>
      </c>
      <c r="D8" s="26" t="n">
        <f aca="false">'10-Yr DCF'!E10</f>
        <v>-482417.7525</v>
      </c>
    </row>
    <row r="9" customFormat="false" ht="15.75" hidden="false" customHeight="true" outlineLevel="0" collapsed="false">
      <c r="B9" s="15" t="s">
        <v>152</v>
      </c>
      <c r="C9" s="23" t="n">
        <f aca="false">'10-Yr DCF'!C11</f>
        <v>338400</v>
      </c>
      <c r="D9" s="23" t="n">
        <f aca="false">'10-Yr DCF'!E11</f>
        <v>352071.36</v>
      </c>
    </row>
    <row r="10" customFormat="false" ht="15.75" hidden="false" customHeight="true" outlineLevel="0" collapsed="false">
      <c r="B10" s="27" t="s">
        <v>178</v>
      </c>
      <c r="C10" s="28" t="n">
        <f aca="false">'10-Yr DCF'!C12</f>
        <v>17890785</v>
      </c>
      <c r="D10" s="28" t="n">
        <f aca="false">'10-Yr DCF'!E12</f>
        <v>19166363.7075</v>
      </c>
    </row>
    <row r="11" customFormat="false" ht="7.5" hidden="false" customHeight="true" outlineLevel="0" collapsed="false"/>
    <row r="12" customFormat="false" ht="15.75" hidden="false" customHeight="true" outlineLevel="0" collapsed="false">
      <c r="B12" s="14" t="s">
        <v>66</v>
      </c>
      <c r="C12" s="14"/>
      <c r="D12" s="14"/>
    </row>
    <row r="13" customFormat="false" ht="15.75" hidden="false" customHeight="true" outlineLevel="0" collapsed="false">
      <c r="B13" s="15" t="s">
        <v>179</v>
      </c>
      <c r="C13" s="26" t="n">
        <f aca="false">'10-Yr DCF'!C22</f>
        <v>-4712981.4</v>
      </c>
      <c r="D13" s="26" t="n">
        <f aca="false">'10-Yr DCF'!E22</f>
        <v>-4966370.39205</v>
      </c>
    </row>
    <row r="14" customFormat="false" ht="7.5" hidden="false" customHeight="true" outlineLevel="0" collapsed="false"/>
    <row r="15" customFormat="false" ht="15.75" hidden="false" customHeight="true" outlineLevel="0" collapsed="false">
      <c r="B15" s="30" t="s">
        <v>127</v>
      </c>
      <c r="C15" s="31" t="n">
        <f aca="false">'10-Yr DCF'!C24</f>
        <v>13177803.6</v>
      </c>
      <c r="D15" s="31" t="n">
        <f aca="false">'10-Yr DCF'!E24</f>
        <v>14199993.31545</v>
      </c>
    </row>
    <row r="16" customFormat="false" ht="7.5" hidden="false" customHeight="true" outlineLevel="0" collapsed="false"/>
    <row r="17" customFormat="false" ht="15.75" hidden="false" customHeight="true" outlineLevel="0" collapsed="false">
      <c r="B17" s="14" t="s">
        <v>180</v>
      </c>
      <c r="C17" s="14"/>
      <c r="D17" s="14"/>
    </row>
    <row r="18" customFormat="false" ht="15.75" hidden="false" customHeight="true" outlineLevel="0" collapsed="false">
      <c r="B18" s="15" t="s">
        <v>181</v>
      </c>
      <c r="C18" s="32" t="n">
        <f aca="false">Assumptions!C32+0.005</f>
        <v>10.005</v>
      </c>
      <c r="D18" s="32" t="n">
        <f aca="false">Assumptions!C32</f>
        <v>10</v>
      </c>
    </row>
    <row r="19" customFormat="false" ht="7.5" hidden="false" customHeight="true" outlineLevel="0" collapsed="false"/>
    <row r="20" customFormat="false" ht="15.75" hidden="false" customHeight="true" outlineLevel="0" collapsed="false">
      <c r="B20" s="30" t="s">
        <v>182</v>
      </c>
      <c r="C20" s="31" t="n">
        <f aca="false">'10-Yr DCF'!C24/(Assumptions!C32+0.005)</f>
        <v>1317121.79910045</v>
      </c>
      <c r="D20" s="31" t="n">
        <f aca="false">'10-Yr DCF'!E24/Assumptions!C32</f>
        <v>1419999.331545</v>
      </c>
    </row>
    <row r="21" customFormat="false" ht="15.75" hidden="false" customHeight="true" outlineLevel="0" collapsed="false">
      <c r="B21" s="15" t="s">
        <v>183</v>
      </c>
      <c r="C21" s="23" t="n">
        <f aca="false">C20/Assumptions!C6</f>
        <v>1868.25787106447</v>
      </c>
      <c r="D21" s="23" t="n">
        <f aca="false">D20/Assumptions!C6</f>
        <v>2014.183449</v>
      </c>
    </row>
    <row r="22" customFormat="false" ht="7.5" hidden="false" customHeight="true" outlineLevel="0" collapsed="false"/>
    <row r="23" customFormat="false" ht="15.75" hidden="false" customHeight="true" outlineLevel="0" collapsed="false">
      <c r="B23" s="14" t="s">
        <v>184</v>
      </c>
      <c r="C23" s="14"/>
      <c r="D23" s="14"/>
    </row>
    <row r="24" customFormat="false" ht="15.75" hidden="false" customHeight="true" outlineLevel="0" collapsed="false">
      <c r="B24" s="15" t="s">
        <v>185</v>
      </c>
      <c r="C24" s="23" t="n">
        <f aca="false">Assumptions!C5</f>
        <v>264400000</v>
      </c>
      <c r="D24" s="23" t="n">
        <f aca="false">Assumptions!C5</f>
        <v>264400000</v>
      </c>
    </row>
    <row r="25" customFormat="false" ht="15.75" hidden="false" customHeight="true" outlineLevel="0" collapsed="false">
      <c r="B25" s="15" t="s">
        <v>186</v>
      </c>
      <c r="C25" s="23" t="n">
        <f aca="false">Assumptions!C5/Assumptions!C6</f>
        <v>375035.460992908</v>
      </c>
      <c r="D25" s="23" t="n">
        <f aca="false">Assumptions!C5/Assumptions!C6</f>
        <v>375035.460992908</v>
      </c>
    </row>
    <row r="26" customFormat="false" ht="15.75" hidden="false" customHeight="true" outlineLevel="0" collapsed="false">
      <c r="B26" s="15" t="s">
        <v>187</v>
      </c>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sheetData>
  <mergeCells count="6">
    <mergeCell ref="B2:D2"/>
    <mergeCell ref="B3:D3"/>
    <mergeCell ref="B6:D6"/>
    <mergeCell ref="B12:D12"/>
    <mergeCell ref="B17:D17"/>
    <mergeCell ref="B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4"/>
    <col collapsed="false" customWidth="true" hidden="false" outlineLevel="0" max="11" min="3" style="1" width="13"/>
    <col collapsed="false" customWidth="true" hidden="false" outlineLevel="0" max="12" min="12" style="1" width="3"/>
  </cols>
  <sheetData>
    <row r="1" customFormat="false" ht="15.75" hidden="false" customHeight="true" outlineLevel="0" collapsed="false"/>
    <row r="2" customFormat="false" ht="30" hidden="false" customHeight="true" outlineLevel="0" collapsed="false">
      <c r="A2" s="2"/>
      <c r="B2" s="13" t="s">
        <v>188</v>
      </c>
      <c r="C2" s="13"/>
      <c r="D2" s="13"/>
      <c r="E2" s="13"/>
      <c r="F2" s="13"/>
      <c r="G2" s="13"/>
      <c r="H2" s="13"/>
      <c r="I2" s="13"/>
      <c r="J2" s="13"/>
      <c r="K2" s="13"/>
      <c r="L2" s="2"/>
    </row>
    <row r="3" customFormat="false" ht="15.75" hidden="false" customHeight="true" outlineLevel="0" collapsed="false">
      <c r="B3" s="21" t="s">
        <v>189</v>
      </c>
      <c r="C3" s="21"/>
      <c r="D3" s="21"/>
      <c r="E3" s="21"/>
      <c r="F3" s="21"/>
      <c r="G3" s="21"/>
      <c r="H3" s="21"/>
      <c r="I3" s="21"/>
      <c r="J3" s="21"/>
      <c r="K3" s="21"/>
    </row>
    <row r="4" customFormat="false" ht="15.75" hidden="false" customHeight="true" outlineLevel="0" collapsed="false"/>
    <row r="5" customFormat="false" ht="15.75" hidden="false" customHeight="true" outlineLevel="0" collapsed="false">
      <c r="B5" s="14" t="s">
        <v>190</v>
      </c>
      <c r="C5" s="14"/>
      <c r="D5" s="14"/>
      <c r="E5" s="14"/>
      <c r="F5" s="14"/>
      <c r="G5" s="14"/>
      <c r="H5" s="14"/>
      <c r="I5" s="14"/>
      <c r="J5" s="14"/>
      <c r="K5" s="14"/>
    </row>
    <row r="6" customFormat="false" ht="15.75" hidden="false" customHeight="true" outlineLevel="0" collapsed="false">
      <c r="B6" s="22" t="s">
        <v>191</v>
      </c>
      <c r="C6" s="22" t="s">
        <v>192</v>
      </c>
      <c r="D6" s="22" t="s">
        <v>193</v>
      </c>
      <c r="E6" s="22" t="s">
        <v>194</v>
      </c>
      <c r="F6" s="22" t="s">
        <v>195</v>
      </c>
      <c r="G6" s="22" t="s">
        <v>196</v>
      </c>
      <c r="H6" s="22" t="s">
        <v>197</v>
      </c>
      <c r="I6" s="22" t="s">
        <v>198</v>
      </c>
    </row>
    <row r="7" customFormat="false" ht="15.75" hidden="false" customHeight="true" outlineLevel="0" collapsed="false">
      <c r="B7" s="51" t="s">
        <v>199</v>
      </c>
      <c r="C7" s="52" t="n">
        <f aca="false">('10-Yr DCF'!C24*0.9)/0.0375/1000000</f>
        <v>316.2672864</v>
      </c>
      <c r="D7" s="52" t="n">
        <f aca="false">('10-Yr DCF'!C24*0.9)/0.04/1000000</f>
        <v>296.500581</v>
      </c>
      <c r="E7" s="52" t="n">
        <f aca="false">('10-Yr DCF'!C24*0.9)/0.0425/1000000</f>
        <v>279.059370352941</v>
      </c>
      <c r="F7" s="52" t="n">
        <f aca="false">('10-Yr DCF'!C24*0.9)/0.045/1000000</f>
        <v>263.556072</v>
      </c>
      <c r="G7" s="52" t="n">
        <f aca="false">('10-Yr DCF'!C24*0.9)/0.0475/1000000</f>
        <v>249.684699789474</v>
      </c>
      <c r="H7" s="52" t="n">
        <f aca="false">('10-Yr DCF'!C24*0.9)/0.05/1000000</f>
        <v>237.2004648</v>
      </c>
      <c r="I7" s="52" t="n">
        <f aca="false">('10-Yr DCF'!C24*0.9)/0.0525/1000000</f>
        <v>225.905204571429</v>
      </c>
    </row>
    <row r="8" customFormat="false" ht="15.75" hidden="false" customHeight="true" outlineLevel="0" collapsed="false">
      <c r="B8" s="51" t="s">
        <v>200</v>
      </c>
      <c r="C8" s="52" t="n">
        <f aca="false">('10-Yr DCF'!C24*0.95)/0.0375/1000000</f>
        <v>333.8376912</v>
      </c>
      <c r="D8" s="52" t="n">
        <f aca="false">('10-Yr DCF'!C24*0.95)/0.04/1000000</f>
        <v>312.9728355</v>
      </c>
      <c r="E8" s="52" t="n">
        <f aca="false">('10-Yr DCF'!C24*0.95)/0.0425/1000000</f>
        <v>294.562668705882</v>
      </c>
      <c r="F8" s="52" t="n">
        <f aca="false">('10-Yr DCF'!C24*0.95)/0.045/1000000</f>
        <v>278.198076</v>
      </c>
      <c r="G8" s="52" t="n">
        <f aca="false">('10-Yr DCF'!C24*0.95)/0.0475/1000000</f>
        <v>263.556072</v>
      </c>
      <c r="H8" s="52" t="n">
        <f aca="false">('10-Yr DCF'!C24*0.95)/0.05/1000000</f>
        <v>250.3782684</v>
      </c>
      <c r="I8" s="52" t="n">
        <f aca="false">('10-Yr DCF'!C24*0.95)/0.0525/1000000</f>
        <v>238.455493714286</v>
      </c>
    </row>
    <row r="9" customFormat="false" ht="15.75" hidden="false" customHeight="true" outlineLevel="0" collapsed="false">
      <c r="B9" s="9" t="s">
        <v>201</v>
      </c>
      <c r="C9" s="53" t="n">
        <f aca="false">('10-Yr DCF'!C24*1)/0.0375/1000000</f>
        <v>351.408096</v>
      </c>
      <c r="D9" s="53" t="n">
        <f aca="false">('10-Yr DCF'!C24*1)/0.04/1000000</f>
        <v>329.44509</v>
      </c>
      <c r="E9" s="53" t="n">
        <f aca="false">('10-Yr DCF'!C24*1)/0.0425/1000000</f>
        <v>310.065967058824</v>
      </c>
      <c r="F9" s="54" t="n">
        <f aca="false">('10-Yr DCF'!C24*1)/0.045/1000000</f>
        <v>292.84008</v>
      </c>
      <c r="G9" s="53" t="n">
        <f aca="false">('10-Yr DCF'!C24*1)/0.0475/1000000</f>
        <v>277.427444210526</v>
      </c>
      <c r="H9" s="53" t="n">
        <f aca="false">('10-Yr DCF'!C24*1)/0.05/1000000</f>
        <v>263.556072</v>
      </c>
      <c r="I9" s="53" t="n">
        <f aca="false">('10-Yr DCF'!C24*1)/0.0525/1000000</f>
        <v>251.005782857143</v>
      </c>
    </row>
    <row r="10" customFormat="false" ht="15.75" hidden="false" customHeight="true" outlineLevel="0" collapsed="false">
      <c r="B10" s="51" t="s">
        <v>202</v>
      </c>
      <c r="C10" s="52" t="n">
        <f aca="false">('10-Yr DCF'!C24*1.05)/0.0375/1000000</f>
        <v>368.9785008</v>
      </c>
      <c r="D10" s="52" t="n">
        <f aca="false">('10-Yr DCF'!C24*1.05)/0.04/1000000</f>
        <v>345.9173445</v>
      </c>
      <c r="E10" s="52" t="n">
        <f aca="false">('10-Yr DCF'!C24*1.05)/0.0425/1000000</f>
        <v>325.569265411765</v>
      </c>
      <c r="F10" s="52" t="n">
        <f aca="false">('10-Yr DCF'!C24*1.05)/0.045/1000000</f>
        <v>307.482084</v>
      </c>
      <c r="G10" s="52" t="n">
        <f aca="false">('10-Yr DCF'!C24*1.05)/0.0475/1000000</f>
        <v>291.298816421053</v>
      </c>
      <c r="H10" s="52" t="n">
        <f aca="false">('10-Yr DCF'!C24*1.05)/0.05/1000000</f>
        <v>276.7338756</v>
      </c>
      <c r="I10" s="52" t="n">
        <f aca="false">('10-Yr DCF'!C24*1.05)/0.0525/1000000</f>
        <v>263.556072</v>
      </c>
    </row>
    <row r="11" customFormat="false" ht="15.75" hidden="false" customHeight="true" outlineLevel="0" collapsed="false">
      <c r="B11" s="51" t="s">
        <v>203</v>
      </c>
      <c r="C11" s="52" t="n">
        <f aca="false">('10-Yr DCF'!C24*1.1)/0.0375/1000000</f>
        <v>386.5489056</v>
      </c>
      <c r="D11" s="52" t="n">
        <f aca="false">('10-Yr DCF'!C24*1.1)/0.04/1000000</f>
        <v>362.389599</v>
      </c>
      <c r="E11" s="52" t="n">
        <f aca="false">('10-Yr DCF'!C24*1.1)/0.0425/1000000</f>
        <v>341.072563764706</v>
      </c>
      <c r="F11" s="52" t="n">
        <f aca="false">('10-Yr DCF'!C24*1.1)/0.045/1000000</f>
        <v>322.124088</v>
      </c>
      <c r="G11" s="52" t="n">
        <f aca="false">('10-Yr DCF'!C24*1.1)/0.0475/1000000</f>
        <v>305.170188631579</v>
      </c>
      <c r="H11" s="52" t="n">
        <f aca="false">('10-Yr DCF'!C24*1.1)/0.05/1000000</f>
        <v>289.9116792</v>
      </c>
      <c r="I11" s="52" t="n">
        <f aca="false">('10-Yr DCF'!C24*1.1)/0.0525/1000000</f>
        <v>276.106361142857</v>
      </c>
    </row>
    <row r="12" customFormat="false" ht="15.75" hidden="false" customHeight="true" outlineLevel="0" collapsed="false"/>
    <row r="13" customFormat="false" ht="15.75" hidden="false" customHeight="true" outlineLevel="0" collapsed="false"/>
    <row r="14" customFormat="false" ht="15.75" hidden="false" customHeight="true" outlineLevel="0" collapsed="false">
      <c r="B14" s="14" t="s">
        <v>204</v>
      </c>
      <c r="C14" s="14"/>
      <c r="D14" s="14"/>
      <c r="E14" s="14"/>
      <c r="F14" s="14"/>
      <c r="G14" s="14"/>
      <c r="H14" s="14"/>
      <c r="I14" s="14"/>
      <c r="J14" s="14"/>
      <c r="K14" s="14"/>
    </row>
    <row r="15" customFormat="false" ht="15.75" hidden="false" customHeight="true" outlineLevel="0" collapsed="false">
      <c r="B15" s="22" t="s">
        <v>205</v>
      </c>
      <c r="C15" s="22" t="s">
        <v>206</v>
      </c>
      <c r="D15" s="22" t="s">
        <v>207</v>
      </c>
      <c r="E15" s="22" t="s">
        <v>208</v>
      </c>
      <c r="F15" s="22" t="s">
        <v>209</v>
      </c>
      <c r="G15" s="22" t="s">
        <v>210</v>
      </c>
      <c r="H15" s="22" t="s">
        <v>211</v>
      </c>
      <c r="I15" s="22" t="s">
        <v>212</v>
      </c>
    </row>
    <row r="16" customFormat="false" ht="15.75" hidden="false" customHeight="true" outlineLevel="0" collapsed="false">
      <c r="B16" s="51" t="s">
        <v>199</v>
      </c>
      <c r="C16" s="32" t="n">
        <f aca="false">('10-Yr DCF'!C24*0.9)/240000000</f>
        <v>0.0494167635</v>
      </c>
      <c r="D16" s="32" t="n">
        <f aca="false">('10-Yr DCF'!C24*0.9)/250000000</f>
        <v>0.04744009296</v>
      </c>
      <c r="E16" s="32" t="n">
        <f aca="false">('10-Yr DCF'!C24*0.9)/264400000</f>
        <v>0.0448563662632375</v>
      </c>
      <c r="F16" s="32" t="n">
        <f aca="false">('10-Yr DCF'!C24*0.9)/275000000</f>
        <v>0.0431273572363636</v>
      </c>
      <c r="G16" s="32" t="n">
        <f aca="false">('10-Yr DCF'!C24*0.9)/285000000</f>
        <v>0.041614116631579</v>
      </c>
      <c r="H16" s="32" t="n">
        <f aca="false">('10-Yr DCF'!C24*0.9)/295000000</f>
        <v>0.0402034686101695</v>
      </c>
      <c r="I16" s="32" t="n">
        <f aca="false">('10-Yr DCF'!C24*0.9)/310000000</f>
        <v>0.038258139483871</v>
      </c>
    </row>
    <row r="17" customFormat="false" ht="15.75" hidden="false" customHeight="true" outlineLevel="0" collapsed="false">
      <c r="B17" s="51" t="s">
        <v>200</v>
      </c>
      <c r="C17" s="32" t="n">
        <f aca="false">('10-Yr DCF'!C24*0.95)/240000000</f>
        <v>0.05216213925</v>
      </c>
      <c r="D17" s="32" t="n">
        <f aca="false">('10-Yr DCF'!C24*0.95)/250000000</f>
        <v>0.05007565368</v>
      </c>
      <c r="E17" s="32" t="n">
        <f aca="false">('10-Yr DCF'!C24*0.95)/264400000</f>
        <v>0.0473483866111952</v>
      </c>
      <c r="F17" s="32" t="n">
        <f aca="false">('10-Yr DCF'!C24*0.95)/275000000</f>
        <v>0.0455233215272727</v>
      </c>
      <c r="G17" s="32" t="n">
        <f aca="false">('10-Yr DCF'!C24*0.95)/285000000</f>
        <v>0.043926012</v>
      </c>
      <c r="H17" s="32" t="n">
        <f aca="false">('10-Yr DCF'!C24*0.95)/295000000</f>
        <v>0.0424369946440678</v>
      </c>
      <c r="I17" s="32" t="n">
        <f aca="false">('10-Yr DCF'!C24*0.95)/310000000</f>
        <v>0.0403835916774194</v>
      </c>
    </row>
    <row r="18" customFormat="false" ht="15.75" hidden="false" customHeight="true" outlineLevel="0" collapsed="false">
      <c r="B18" s="9" t="s">
        <v>201</v>
      </c>
      <c r="C18" s="55" t="n">
        <f aca="false">('10-Yr DCF'!C24*1)/240000000</f>
        <v>0.054907515</v>
      </c>
      <c r="D18" s="55" t="n">
        <f aca="false">('10-Yr DCF'!C24*1)/250000000</f>
        <v>0.0527112144</v>
      </c>
      <c r="E18" s="56" t="n">
        <f aca="false">('10-Yr DCF'!C24*1)/264400000</f>
        <v>0.0498404069591528</v>
      </c>
      <c r="F18" s="55" t="n">
        <f aca="false">('10-Yr DCF'!C24*1)/275000000</f>
        <v>0.0479192858181818</v>
      </c>
      <c r="G18" s="55" t="n">
        <f aca="false">('10-Yr DCF'!C24*1)/285000000</f>
        <v>0.0462379073684211</v>
      </c>
      <c r="H18" s="55" t="n">
        <f aca="false">('10-Yr DCF'!C24*1)/295000000</f>
        <v>0.0446705206779661</v>
      </c>
      <c r="I18" s="55" t="n">
        <f aca="false">('10-Yr DCF'!C24*1)/310000000</f>
        <v>0.0425090438709677</v>
      </c>
    </row>
    <row r="19" customFormat="false" ht="15.75" hidden="false" customHeight="true" outlineLevel="0" collapsed="false">
      <c r="B19" s="51" t="s">
        <v>202</v>
      </c>
      <c r="C19" s="32" t="n">
        <f aca="false">('10-Yr DCF'!C24*1.05)/240000000</f>
        <v>0.05765289075</v>
      </c>
      <c r="D19" s="32" t="n">
        <f aca="false">('10-Yr DCF'!C24*1.05)/250000000</f>
        <v>0.05534677512</v>
      </c>
      <c r="E19" s="32" t="n">
        <f aca="false">('10-Yr DCF'!C24*1.05)/264400000</f>
        <v>0.0523324273071104</v>
      </c>
      <c r="F19" s="32" t="n">
        <f aca="false">('10-Yr DCF'!C24*1.05)/275000000</f>
        <v>0.0503152501090909</v>
      </c>
      <c r="G19" s="32" t="n">
        <f aca="false">('10-Yr DCF'!C24*1.05)/285000000</f>
        <v>0.0485498027368421</v>
      </c>
      <c r="H19" s="32" t="n">
        <f aca="false">('10-Yr DCF'!C24*1.05)/295000000</f>
        <v>0.0469040467118644</v>
      </c>
      <c r="I19" s="32" t="n">
        <f aca="false">('10-Yr DCF'!C24*1.05)/310000000</f>
        <v>0.0446344960645161</v>
      </c>
    </row>
    <row r="20" customFormat="false" ht="15.75" hidden="false" customHeight="true" outlineLevel="0" collapsed="false">
      <c r="B20" s="51" t="s">
        <v>203</v>
      </c>
      <c r="C20" s="32" t="n">
        <f aca="false">('10-Yr DCF'!C24*1.1)/240000000</f>
        <v>0.0603982665</v>
      </c>
      <c r="D20" s="32" t="n">
        <f aca="false">('10-Yr DCF'!C24*1.1)/250000000</f>
        <v>0.05798233584</v>
      </c>
      <c r="E20" s="32" t="n">
        <f aca="false">('10-Yr DCF'!C24*1.1)/264400000</f>
        <v>0.0548244476550681</v>
      </c>
      <c r="F20" s="32" t="n">
        <f aca="false">('10-Yr DCF'!C24*1.1)/275000000</f>
        <v>0.0527112144</v>
      </c>
      <c r="G20" s="32" t="n">
        <f aca="false">('10-Yr DCF'!C24*1.1)/285000000</f>
        <v>0.0508616981052632</v>
      </c>
      <c r="H20" s="32" t="n">
        <f aca="false">('10-Yr DCF'!C24*1.1)/295000000</f>
        <v>0.0491375727457627</v>
      </c>
      <c r="I20" s="32" t="n">
        <f aca="false">('10-Yr DCF'!C24*1.1)/310000000</f>
        <v>0.0467599482580645</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c r="B23" s="14" t="s">
        <v>213</v>
      </c>
      <c r="C23" s="14"/>
      <c r="D23" s="14"/>
      <c r="E23" s="14"/>
      <c r="F23" s="14"/>
      <c r="G23" s="14"/>
      <c r="H23" s="14"/>
      <c r="I23" s="14"/>
      <c r="J23" s="14"/>
      <c r="K23" s="14"/>
    </row>
    <row r="24" customFormat="false" ht="15.75" hidden="false" customHeight="true" outlineLevel="0" collapsed="false">
      <c r="B24" s="22" t="s">
        <v>214</v>
      </c>
      <c r="C24" s="22" t="s">
        <v>194</v>
      </c>
      <c r="D24" s="22" t="s">
        <v>195</v>
      </c>
      <c r="E24" s="22" t="s">
        <v>196</v>
      </c>
      <c r="F24" s="22" t="s">
        <v>197</v>
      </c>
      <c r="G24" s="22" t="s">
        <v>198</v>
      </c>
      <c r="H24" s="22" t="s">
        <v>215</v>
      </c>
      <c r="I24" s="22" t="s">
        <v>216</v>
      </c>
    </row>
    <row r="25" customFormat="false" ht="15.75" hidden="false" customHeight="true" outlineLevel="0" collapsed="false">
      <c r="B25" s="51" t="s">
        <v>217</v>
      </c>
      <c r="C25" s="52" t="n">
        <v>317.9</v>
      </c>
      <c r="D25" s="52" t="n">
        <v>300.2</v>
      </c>
      <c r="E25" s="52" t="n">
        <v>284.4</v>
      </c>
      <c r="F25" s="52" t="n">
        <v>270.2</v>
      </c>
      <c r="G25" s="52" t="n">
        <v>257.3</v>
      </c>
      <c r="H25" s="52" t="n">
        <v>245.6</v>
      </c>
      <c r="I25" s="52" t="n">
        <v>235</v>
      </c>
    </row>
    <row r="26" customFormat="false" ht="15.75" hidden="false" customHeight="true" outlineLevel="0" collapsed="false">
      <c r="B26" s="51" t="s">
        <v>218</v>
      </c>
      <c r="C26" s="52" t="n">
        <v>332.2</v>
      </c>
      <c r="D26" s="52" t="n">
        <v>313.8</v>
      </c>
      <c r="E26" s="52" t="n">
        <v>297.3</v>
      </c>
      <c r="F26" s="52" t="n">
        <v>282.4</v>
      </c>
      <c r="G26" s="52" t="n">
        <v>269</v>
      </c>
      <c r="H26" s="52" t="n">
        <v>256.7</v>
      </c>
      <c r="I26" s="52" t="n">
        <v>245.6</v>
      </c>
    </row>
    <row r="27" customFormat="false" ht="15.75" hidden="false" customHeight="true" outlineLevel="0" collapsed="false">
      <c r="B27" s="51" t="s">
        <v>219</v>
      </c>
      <c r="C27" s="52" t="n">
        <v>347.2</v>
      </c>
      <c r="D27" s="52" t="n">
        <v>327.9</v>
      </c>
      <c r="E27" s="52" t="n">
        <v>310.7</v>
      </c>
      <c r="F27" s="52" t="n">
        <v>295.1</v>
      </c>
      <c r="G27" s="52" t="n">
        <v>281.1</v>
      </c>
      <c r="H27" s="52" t="n">
        <v>268.3</v>
      </c>
      <c r="I27" s="52" t="n">
        <v>256.6</v>
      </c>
    </row>
    <row r="28" customFormat="false" ht="15.75" hidden="false" customHeight="true" outlineLevel="0" collapsed="false">
      <c r="B28" s="9" t="s">
        <v>220</v>
      </c>
      <c r="C28" s="53" t="n">
        <v>362.7</v>
      </c>
      <c r="D28" s="53" t="n">
        <v>342.6</v>
      </c>
      <c r="E28" s="53" t="n">
        <v>324.6</v>
      </c>
      <c r="F28" s="54" t="n">
        <v>308.3</v>
      </c>
      <c r="G28" s="53" t="n">
        <v>293.6</v>
      </c>
      <c r="H28" s="53" t="n">
        <v>280.3</v>
      </c>
      <c r="I28" s="53" t="n">
        <v>268.1</v>
      </c>
    </row>
    <row r="29" customFormat="false" ht="15.75" hidden="false" customHeight="true" outlineLevel="0" collapsed="false">
      <c r="B29" s="51" t="s">
        <v>221</v>
      </c>
      <c r="C29" s="52" t="n">
        <v>378.9</v>
      </c>
      <c r="D29" s="52" t="n">
        <v>357.9</v>
      </c>
      <c r="E29" s="52" t="n">
        <v>339</v>
      </c>
      <c r="F29" s="52" t="n">
        <v>322.1</v>
      </c>
      <c r="G29" s="52" t="n">
        <v>306.7</v>
      </c>
      <c r="H29" s="52" t="n">
        <v>292.8</v>
      </c>
      <c r="I29" s="52" t="n">
        <v>280.1</v>
      </c>
    </row>
    <row r="30" customFormat="false" ht="15.75" hidden="false" customHeight="true" outlineLevel="0" collapsed="false"/>
    <row r="31" customFormat="false" ht="15.75" hidden="false" customHeight="true" outlineLevel="0" collapsed="false">
      <c r="B31" s="57" t="s">
        <v>222</v>
      </c>
      <c r="C31" s="57"/>
      <c r="D31" s="57"/>
      <c r="E31" s="57"/>
      <c r="F31" s="57"/>
      <c r="G31" s="57"/>
      <c r="H31" s="57"/>
      <c r="I31" s="57"/>
      <c r="J31" s="57"/>
      <c r="K31" s="57"/>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sheetData>
  <mergeCells count="6">
    <mergeCell ref="B2:K2"/>
    <mergeCell ref="B3:K3"/>
    <mergeCell ref="B5:K5"/>
    <mergeCell ref="B14:K14"/>
    <mergeCell ref="B23:K23"/>
    <mergeCell ref="B31:K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2026-03-05T00:41:09Z</dcterms:created>
  <dc:creator>openpyxl</dc:creator>
  <dc:description/>
  <dc:language>en-US</dc:language>
  <cp:lastModifiedBy/>
  <dcterms:modified xsi:type="dcterms:W3CDTF">2026-03-05T00:44:37Z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