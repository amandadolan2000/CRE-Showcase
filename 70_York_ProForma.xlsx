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Rent Roll" sheetId="3" state="visible" r:id="rId5"/>
    <sheet name="T12 NOI" sheetId="4" state="visible" r:id="rId6"/>
    <sheet name="10-Yr DCF" sheetId="5" state="visible" r:id="rId7"/>
    <sheet name="Direct Cap" sheetId="6" state="visible" r:id="rId8"/>
    <sheet name="Sensitivit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<sst xmlns="http://schemas.openxmlformats.org/spreadsheetml/2006/main" count="303" uniqueCount="268">
  <si>
    <t xml:space="preserve">CBRE</t>
  </si>
  <si>
    <t xml:space="preserve">Capital Markets  |  Investment Properties  |  National Investment Team</t>
  </si>
  <si>
    <t xml:space="preserve">ACQUISITION PRO FORMA — CONFIDENTIAL</t>
  </si>
  <si>
    <t xml:space="preserve">70 York Street  |  Toronto, Ontario  |  Class A Office Tower</t>
  </si>
  <si>
    <t xml:space="preserve">210,000 SF  |  17 Storeys  |  Financial District  |  $134,600,000 Asking Price  |  6.50% Going-In Cap Rate</t>
  </si>
  <si>
    <t xml:space="preserve">PROPERTY SUMMARY</t>
  </si>
  <si>
    <t xml:space="preserve">Address</t>
  </si>
  <si>
    <t xml:space="preserve">70 York Street, Toronto, ON</t>
  </si>
  <si>
    <t xml:space="preserve">Asset Type</t>
  </si>
  <si>
    <t xml:space="preserve">Office — Class A</t>
  </si>
  <si>
    <t xml:space="preserve">Building Size</t>
  </si>
  <si>
    <t xml:space="preserve">210,000 SF  |  17 Storeys</t>
  </si>
  <si>
    <t xml:space="preserve">Submarket</t>
  </si>
  <si>
    <t xml:space="preserve">Toronto Financial District / PATH-connected</t>
  </si>
  <si>
    <t xml:space="preserve">Occupancy at Acquisition</t>
  </si>
  <si>
    <t xml:space="preserve">92.5%  (15,750 SF vacant)</t>
  </si>
  <si>
    <t xml:space="preserve">Anchor Tenant</t>
  </si>
  <si>
    <t xml:space="preserve">CMHC (Federal Government Covenant)</t>
  </si>
  <si>
    <t xml:space="preserve">Year Built / Renovated</t>
  </si>
  <si>
    <t xml:space="preserve">Comprehensively repositioned 2022–2024</t>
  </si>
  <si>
    <t xml:space="preserve">TRANSACTION SUMMARY</t>
  </si>
  <si>
    <t xml:space="preserve">Vendor</t>
  </si>
  <si>
    <t xml:space="preserve">KingSett Senior Mortgage Fund</t>
  </si>
  <si>
    <t xml:space="preserve">Purchaser</t>
  </si>
  <si>
    <t xml:space="preserve">Desjardins DGAM (60%) / Pension Fund (40%)</t>
  </si>
  <si>
    <t xml:space="preserve">Structure</t>
  </si>
  <si>
    <t xml:space="preserve">Off-market process; co-advisors CBRE + TD Cornerstone</t>
  </si>
  <si>
    <t xml:space="preserve">Asking Price</t>
  </si>
  <si>
    <t xml:space="preserve">$134,600,000</t>
  </si>
  <si>
    <t xml:space="preserve">Price Per SF</t>
  </si>
  <si>
    <t xml:space="preserve">$639 / SF</t>
  </si>
  <si>
    <t xml:space="preserve">Going-In Cap Rate</t>
  </si>
  <si>
    <t xml:space="preserve">6.50%</t>
  </si>
  <si>
    <t xml:space="preserve">Land Transfer Tax (est.)</t>
  </si>
  <si>
    <t xml:space="preserve">$2,692,000</t>
  </si>
  <si>
    <t xml:space="preserve">Total All-In Cost / SF</t>
  </si>
  <si>
    <t xml:space="preserve">$663 / SF</t>
  </si>
  <si>
    <t xml:space="preserve">PREPARED BY</t>
  </si>
  <si>
    <t xml:space="preserve">Analyst</t>
  </si>
  <si>
    <t xml:space="preserve">Amanda Dolan, CBRE Capital Markets</t>
  </si>
  <si>
    <t xml:space="preserve">Date</t>
  </si>
  <si>
    <t xml:space="preserve">March 2026</t>
  </si>
  <si>
    <t xml:space="preserve">Classification</t>
  </si>
  <si>
    <t xml:space="preserve">STRICTLY PRIVATE &amp; CONFIDENTIAL</t>
  </si>
  <si>
    <t xml:space="preserve">This analysis has been prepared by CBRE Capital Markets for informational purposes only. Figures are drawn from RENX, CBRE market reports, and analyst estimates. Tenant names are illustrative proxies. This document does not constitute investment advice.</t>
  </si>
  <si>
    <t xml:space="preserve">MODEL ASSUMPTIONS — 70 YORK STREET</t>
  </si>
  <si>
    <t xml:space="preserve">Blue cells = hardcoded inputs  |  All other cells = formulas  |  Sources documented in column D</t>
  </si>
  <si>
    <t xml:space="preserve">PROPERTY</t>
  </si>
  <si>
    <t xml:space="preserve">  Asking Price</t>
  </si>
  <si>
    <t xml:space="preserve">RENX / CBRE Canada Press Release</t>
  </si>
  <si>
    <t xml:space="preserve">  Total GFA (SF)</t>
  </si>
  <si>
    <t xml:space="preserve">RENX Exclusive Report, Nov. 2025</t>
  </si>
  <si>
    <t xml:space="preserve">  Number of Storeys</t>
  </si>
  <si>
    <t xml:space="preserve">  Land Transfer Tax (est.)</t>
  </si>
  <si>
    <t xml:space="preserve">Est. ~2.0% of purchase price</t>
  </si>
  <si>
    <t xml:space="preserve">REVENUE</t>
  </si>
  <si>
    <t xml:space="preserve">  Occupancy at Acquisition (Yr 0)</t>
  </si>
  <si>
    <t xml:space="preserve">CBRE / RENX — 92.5% at time of sale</t>
  </si>
  <si>
    <t xml:space="preserve">  Stabilised Occupancy (Yr 2+)</t>
  </si>
  <si>
    <t xml:space="preserve">Conservative; AAA submarket vacancy 7.2%</t>
  </si>
  <si>
    <t xml:space="preserve">  Avg. Net Rent — In-Place ($/SF/yr)</t>
  </si>
  <si>
    <t xml:space="preserve">CBRE Toronto Class A avg. $28–$34/SF</t>
  </si>
  <si>
    <t xml:space="preserve">  Annual Rent Growth — Yrs 1–5</t>
  </si>
  <si>
    <t xml:space="preserve">OM assumption; Toronto Class A rent growth</t>
  </si>
  <si>
    <t xml:space="preserve">  Annual Rent Growth — Yrs 6–10</t>
  </si>
  <si>
    <t xml:space="preserve">Long-run normalised</t>
  </si>
  <si>
    <t xml:space="preserve">  Other Income ($/SF/yr)</t>
  </si>
  <si>
    <t xml:space="preserve">Parking, storage — est. for Class A tower</t>
  </si>
  <si>
    <t xml:space="preserve">  Other Income Growth Rate</t>
  </si>
  <si>
    <t xml:space="preserve">Conservative</t>
  </si>
  <si>
    <t xml:space="preserve">OPERATING EXPENSES</t>
  </si>
  <si>
    <t xml:space="preserve">  Property Tax ($/SF/yr)</t>
  </si>
  <si>
    <t xml:space="preserve">Est. ~$3.00/SF; Toronto commercial mill rate</t>
  </si>
  <si>
    <t xml:space="preserve">  Insurance ($/SF/yr)</t>
  </si>
  <si>
    <t xml:space="preserve">Market rate Class A downtown</t>
  </si>
  <si>
    <t xml:space="preserve">  Property Mgmt Fee (% of EGI)</t>
  </si>
  <si>
    <t xml:space="preserve">Standard institutional rate</t>
  </si>
  <si>
    <t xml:space="preserve">  Repairs &amp; Maintenance ($/SF/yr)</t>
  </si>
  <si>
    <t xml:space="preserve">Class A tower; lower than multifamily</t>
  </si>
  <si>
    <t xml:space="preserve">  Utilities &amp; Common Area ($/SF/yr)</t>
  </si>
  <si>
    <t xml:space="preserve">Net lease; landlord portion only</t>
  </si>
  <si>
    <t xml:space="preserve">  Admin &amp; Other ($/SF/yr)</t>
  </si>
  <si>
    <t xml:space="preserve">Estimated</t>
  </si>
  <si>
    <t xml:space="preserve">  Expense Growth Rate (annual)</t>
  </si>
  <si>
    <t xml:space="preserve">CPI-linked</t>
  </si>
  <si>
    <t xml:space="preserve">  Capital Reserve ($/SF/yr)</t>
  </si>
  <si>
    <t xml:space="preserve">OM assumption; Class A standard</t>
  </si>
  <si>
    <t xml:space="preserve">FINANCING</t>
  </si>
  <si>
    <t xml:space="preserve">  Loan-to-Value (LTV)</t>
  </si>
  <si>
    <t xml:space="preserve">Conservative for office; CMHC not available</t>
  </si>
  <si>
    <t xml:space="preserve">  Interest Rate (annual)</t>
  </si>
  <si>
    <t xml:space="preserve">Senior secured, 5-yr term, 2025 market</t>
  </si>
  <si>
    <t xml:space="preserve">  Amortization Period (years)</t>
  </si>
  <si>
    <t xml:space="preserve">Standard commercial</t>
  </si>
  <si>
    <t xml:space="preserve">  Loan Term (years)</t>
  </si>
  <si>
    <t xml:space="preserve">Matches hold period</t>
  </si>
  <si>
    <t xml:space="preserve">EXIT &amp; DISCOUNT RATE</t>
  </si>
  <si>
    <t xml:space="preserve">  Hold Period (years)</t>
  </si>
  <si>
    <t xml:space="preserve">Standard institutional</t>
  </si>
  <si>
    <t xml:space="preserve">  Exit Cap Rate</t>
  </si>
  <si>
    <t xml:space="preserve">OM assumption; 25 bps expansion from going-in</t>
  </si>
  <si>
    <t xml:space="preserve">  Disposition Costs (% of gross exit value)</t>
  </si>
  <si>
    <t xml:space="preserve">Brokerage + legal</t>
  </si>
  <si>
    <t xml:space="preserve">  Discount Rate — Unlevered IRR target</t>
  </si>
  <si>
    <t xml:space="preserve">OM assumption; office risk premium</t>
  </si>
  <si>
    <t xml:space="preserve">TENANCY SCHEDULE &amp; RENT ROLL</t>
  </si>
  <si>
    <t xml:space="preserve">70 York Street, Toronto  |  Total GFA: 210,000 SF  |  Occupancy: 92.5%  |  Tenant names are illustrative proxies (*)</t>
  </si>
  <si>
    <t xml:space="preserve">TENANT</t>
  </si>
  <si>
    <t xml:space="preserve">SUITE/FLOOR</t>
  </si>
  <si>
    <t xml:space="preserve">SF LEASED</t>
  </si>
  <si>
    <t xml:space="preserve">% OF GLA</t>
  </si>
  <si>
    <t xml:space="preserve">NET RENT ($/SF)</t>
  </si>
  <si>
    <t xml:space="preserve">ANN. BASE RENT ($)</t>
  </si>
  <si>
    <t xml:space="preserve">LEASE EXPIRY</t>
  </si>
  <si>
    <t xml:space="preserve">WALE (YRS)</t>
  </si>
  <si>
    <t xml:space="preserve">CMHC (Federal Gov't Covenant)*</t>
  </si>
  <si>
    <t xml:space="preserve">Floors 10–13</t>
  </si>
  <si>
    <t xml:space="preserve">Dec 2033</t>
  </si>
  <si>
    <t xml:space="preserve">Desjardins Financial Group*</t>
  </si>
  <si>
    <t xml:space="preserve">Floors 14–16</t>
  </si>
  <si>
    <t xml:space="preserve">Jun 2032</t>
  </si>
  <si>
    <t xml:space="preserve">Torys LLP (Law)*</t>
  </si>
  <si>
    <t xml:space="preserve">Floors 6–8</t>
  </si>
  <si>
    <t xml:space="preserve">Dec 2031</t>
  </si>
  <si>
    <t xml:space="preserve">Infrastructure Ontario*</t>
  </si>
  <si>
    <t xml:space="preserve">Floor 9</t>
  </si>
  <si>
    <t xml:space="preserve">Mar 2030</t>
  </si>
  <si>
    <t xml:space="preserve">Retail (Ground Floor)*</t>
  </si>
  <si>
    <t xml:space="preserve">Ground</t>
  </si>
  <si>
    <t xml:space="preserve">Dec 2029</t>
  </si>
  <si>
    <t xml:space="preserve">Other Tenants (6)*</t>
  </si>
  <si>
    <t xml:space="preserve">Mixed</t>
  </si>
  <si>
    <t xml:space="preserve">Various</t>
  </si>
  <si>
    <t xml:space="preserve">VACANT</t>
  </si>
  <si>
    <t xml:space="preserve">Floor 5 (part)</t>
  </si>
  <si>
    <t xml:space="preserve">—</t>
  </si>
  <si>
    <t xml:space="preserve">TOTAL / WEIGHTED AVERAGE</t>
  </si>
  <si>
    <t xml:space="preserve">LEASE EXPIRY PROFILE</t>
  </si>
  <si>
    <t xml:space="preserve">PERIOD</t>
  </si>
  <si>
    <t xml:space="preserve">SF EXPIRING</t>
  </si>
  <si>
    <t xml:space="preserve">2025–2026</t>
  </si>
  <si>
    <t xml:space="preserve">2027–2028</t>
  </si>
  <si>
    <t xml:space="preserve">2029–2030</t>
  </si>
  <si>
    <t xml:space="preserve">2031–2032</t>
  </si>
  <si>
    <t xml:space="preserve">2033+</t>
  </si>
  <si>
    <t xml:space="preserve">Vacant</t>
  </si>
  <si>
    <t xml:space="preserve">YEAR 1 STABILISED NOI — 70 YORK STREET</t>
  </si>
  <si>
    <t xml:space="preserve">Stabilised Yr 1 basis (vacant suite assumed leased by Month 6)  |  210,000 SF  |  Net lease structure</t>
  </si>
  <si>
    <t xml:space="preserve">LINE ITEM</t>
  </si>
  <si>
    <t xml:space="preserve">YR 1 STABILISED ($)</t>
  </si>
  <si>
    <t xml:space="preserve">$/SF/YR</t>
  </si>
  <si>
    <t xml:space="preserve">NOTES</t>
  </si>
  <si>
    <t xml:space="preserve">  Gross Potential Rent (GPR)</t>
  </si>
  <si>
    <t xml:space="preserve">195,000 occ. SF × $31.00 avg net rent + retail at $55/SF; stabilised occ. 92.9%</t>
  </si>
  <si>
    <t xml:space="preserve">  Less: Vacancy &amp; Credit Loss</t>
  </si>
  <si>
    <t xml:space="preserve">~3.5% of GPR; stabilising from 7.5% at acquisition (vacant suite leased by Mo. 6)</t>
  </si>
  <si>
    <t xml:space="preserve">  Other Income (parking, storage)</t>
  </si>
  <si>
    <t xml:space="preserve">$1.50/SF; parking revenue for Class A Financial District tower</t>
  </si>
  <si>
    <t xml:space="preserve">EFFECTIVE GROSS INCOME (EGI)</t>
  </si>
  <si>
    <t xml:space="preserve">  Property Tax</t>
  </si>
  <si>
    <t xml:space="preserve">$3.00/SF; Toronto commercial mill rate</t>
  </si>
  <si>
    <t xml:space="preserve">  Insurance</t>
  </si>
  <si>
    <t xml:space="preserve">$0.50/SF; market rate Class A downtown</t>
  </si>
  <si>
    <t xml:space="preserve">  Property Management (4.0% of EGI)</t>
  </si>
  <si>
    <t xml:space="preserve">% of EGI — formula-driven</t>
  </si>
  <si>
    <t xml:space="preserve">  Repairs &amp; Maintenance</t>
  </si>
  <si>
    <t xml:space="preserve">$1.20/SF</t>
  </si>
  <si>
    <t xml:space="preserve">  Utilities &amp; Common Area</t>
  </si>
  <si>
    <t xml:space="preserve">$1.80/SF net lease; landlord portion</t>
  </si>
  <si>
    <t xml:space="preserve">  Admin &amp; Other</t>
  </si>
  <si>
    <t xml:space="preserve">$0.60/SF</t>
  </si>
  <si>
    <t xml:space="preserve">TOTAL OPERATING EXPENSES</t>
  </si>
  <si>
    <t xml:space="preserve">NET OPERATING INCOME (NOI)</t>
  </si>
  <si>
    <t xml:space="preserve">  Capital Reserve (shown below NOI)</t>
  </si>
  <si>
    <t xml:space="preserve">$1.00/SF; OM assumption</t>
  </si>
  <si>
    <t xml:space="preserve">NOI AFTER RESERVES</t>
  </si>
  <si>
    <t xml:space="preserve">KEY METRICS</t>
  </si>
  <si>
    <t xml:space="preserve">  Stabilised NOI (Yr 1)</t>
  </si>
  <si>
    <t xml:space="preserve">  NOI Per SF ($/yr)</t>
  </si>
  <si>
    <t xml:space="preserve">  Going-In Cap Rate (NOI / Asking Price)</t>
  </si>
  <si>
    <t xml:space="preserve">  Expense Ratio (Total OpEx / EGI)</t>
  </si>
  <si>
    <t xml:space="preserve">  NOI Margin (NOI / EGI)</t>
  </si>
  <si>
    <t xml:space="preserve">  Direct Cap Value (NOI / 6.50%)</t>
  </si>
  <si>
    <t xml:space="preserve">  Note: Price vs. Direct Cap Premium</t>
  </si>
  <si>
    <t xml:space="preserve">10-YEAR DISCOUNTED CASH FLOW MODEL — 70 YORK STREET</t>
  </si>
  <si>
    <t xml:space="preserve">70 York Street, Toronto Financial District  |  210,000 SF Class A Office  |  10-Year Hold</t>
  </si>
  <si>
    <t xml:space="preserve">Year 1</t>
  </si>
  <si>
    <t xml:space="preserve">Year 2</t>
  </si>
  <si>
    <t xml:space="preserve">Year 3</t>
  </si>
  <si>
    <t xml:space="preserve">Year 4</t>
  </si>
  <si>
    <t xml:space="preserve">Year 5</t>
  </si>
  <si>
    <t xml:space="preserve">Year 6</t>
  </si>
  <si>
    <t xml:space="preserve">Year 7</t>
  </si>
  <si>
    <t xml:space="preserve">Year 8</t>
  </si>
  <si>
    <t xml:space="preserve">Year 9</t>
  </si>
  <si>
    <t xml:space="preserve">Year 10</t>
  </si>
  <si>
    <t xml:space="preserve">EXIT</t>
  </si>
  <si>
    <t xml:space="preserve">Calendar Year</t>
  </si>
  <si>
    <t xml:space="preserve">  Gross Potential Rent</t>
  </si>
  <si>
    <t xml:space="preserve">  Other Income</t>
  </si>
  <si>
    <t xml:space="preserve">  Property Management (4.0% EGI)</t>
  </si>
  <si>
    <t xml:space="preserve">  Capital Reserves</t>
  </si>
  <si>
    <t xml:space="preserve">DEBT SERVICE (LEVERED)</t>
  </si>
  <si>
    <t xml:space="preserve">  Loan Amount (at acquisition)</t>
  </si>
  <si>
    <t xml:space="preserve">  Annual Debt Service (PMT)</t>
  </si>
  <si>
    <t xml:space="preserve">LEVERED CASH FLOW</t>
  </si>
  <si>
    <t xml:space="preserve">EXIT VALUATION — YEAR 10</t>
  </si>
  <si>
    <t xml:space="preserve">  Exit NOI (Year 11 = Yr 10 × LT growth)</t>
  </si>
  <si>
    <t xml:space="preserve">  Gross Exit Value (Exit NOI ÷ Exit Cap)</t>
  </si>
  <si>
    <t xml:space="preserve">  Less: Disposition Costs (1.50%)</t>
  </si>
  <si>
    <t xml:space="preserve">  Less: Remaining Loan Balance</t>
  </si>
  <si>
    <t xml:space="preserve">NET SALE PROCEEDS (LEVERED)</t>
  </si>
  <si>
    <t xml:space="preserve">RETURNS SUMMARY</t>
  </si>
  <si>
    <t xml:space="preserve">  Equity Invested</t>
  </si>
  <si>
    <t xml:space="preserve">  Unlevered IRR</t>
  </si>
  <si>
    <t xml:space="preserve">  Levered IRR</t>
  </si>
  <si>
    <t xml:space="preserve">  Equity Multiple (Levered)</t>
  </si>
  <si>
    <t xml:space="preserve">  Going-In Cap Rate (Yr 1 NOI / Price)</t>
  </si>
  <si>
    <t xml:space="preserve">DIRECT CAPITALIZATION VALUATION — 70 YORK STREET</t>
  </si>
  <si>
    <t xml:space="preserve">Value = NOI ÷ Cap Rate  |  Yr 1 Stabilised vs. Yr 3 (fully stabilised)</t>
  </si>
  <si>
    <t xml:space="preserve">YR 1 STABILISED</t>
  </si>
  <si>
    <t xml:space="preserve">YR 3 (FULLY STAB.)</t>
  </si>
  <si>
    <t xml:space="preserve">  Less: Vacancy</t>
  </si>
  <si>
    <t xml:space="preserve">  Total Operating Expenses</t>
  </si>
  <si>
    <t xml:space="preserve">CAPITALISATION</t>
  </si>
  <si>
    <t xml:space="preserve">  Applied Cap Rate</t>
  </si>
  <si>
    <t xml:space="preserve">INDICATED VALUE (NOI ÷ Cap Rate)</t>
  </si>
  <si>
    <t xml:space="preserve">  Value Per SF</t>
  </si>
  <si>
    <t xml:space="preserve">ACQUISITION METRICS</t>
  </si>
  <si>
    <t xml:space="preserve">  Asking Price / SF</t>
  </si>
  <si>
    <t xml:space="preserve">  Premium / (Discount) to Indicated Value</t>
  </si>
  <si>
    <t xml:space="preserve">SENSITIVITY ANALYSIS — 70 YORK STREET</t>
  </si>
  <si>
    <t xml:space="preserve">Three scenario matrices — base case highlighted in green</t>
  </si>
  <si>
    <t xml:space="preserve">TABLE 1: INDICATED VALUE ($M) — NOI SCENARIO vs. CAP RATE</t>
  </si>
  <si>
    <t xml:space="preserve">NOI \ Cap Rate →</t>
  </si>
  <si>
    <t xml:space="preserve">5.00%</t>
  </si>
  <si>
    <t xml:space="preserve">5.50%</t>
  </si>
  <si>
    <t xml:space="preserve">6.00%</t>
  </si>
  <si>
    <t xml:space="preserve">7.00%</t>
  </si>
  <si>
    <t xml:space="preserve">7.50%</t>
  </si>
  <si>
    <t xml:space="preserve">8.00%</t>
  </si>
  <si>
    <t xml:space="preserve">90% of Base NOI</t>
  </si>
  <si>
    <t xml:space="preserve">95% of Base NOI</t>
  </si>
  <si>
    <t xml:space="preserve">100% of Base NOI</t>
  </si>
  <si>
    <t xml:space="preserve">105% of Base NOI</t>
  </si>
  <si>
    <t xml:space="preserve">110% of Base NOI</t>
  </si>
  <si>
    <t xml:space="preserve">TABLE 2: GOING-IN CAP RATE — NOI SCENARIO vs. PURCHASE PRICE</t>
  </si>
  <si>
    <t xml:space="preserve">NOI \ Price →</t>
  </si>
  <si>
    <t xml:space="preserve">$110M</t>
  </si>
  <si>
    <t xml:space="preserve">$120M</t>
  </si>
  <si>
    <t xml:space="preserve">$135M</t>
  </si>
  <si>
    <t xml:space="preserve">$145M</t>
  </si>
  <si>
    <t xml:space="preserve">$155M</t>
  </si>
  <si>
    <t xml:space="preserve">$165M</t>
  </si>
  <si>
    <t xml:space="preserve">$180M</t>
  </si>
  <si>
    <t xml:space="preserve">TABLE 3: UNLEVERED IRR — RENT GROWTH (YRS 1–5) vs. EXIT CAP RATE</t>
  </si>
  <si>
    <t xml:space="preserve">Rent Growth \ Exit Cap →</t>
  </si>
  <si>
    <t xml:space="preserve">6.25%</t>
  </si>
  <si>
    <t xml:space="preserve">6.75%</t>
  </si>
  <si>
    <t xml:space="preserve">7.25%</t>
  </si>
  <si>
    <t xml:space="preserve">7.75%</t>
  </si>
  <si>
    <t xml:space="preserve">8.25%</t>
  </si>
  <si>
    <t xml:space="preserve">1.0% p.a.</t>
  </si>
  <si>
    <t xml:space="preserve">1.5% p.a.</t>
  </si>
  <si>
    <t xml:space="preserve">2.0% p.a.</t>
  </si>
  <si>
    <t xml:space="preserve">2.5% p.a.</t>
  </si>
  <si>
    <t xml:space="preserve">3.0% p.a.</t>
  </si>
  <si>
    <t xml:space="preserve">Base case highlighted in green  |  Blue cells in Assumptions tab are editable inputs  |  IRR values in Table 3 are approximations for scenario illustration</t>
  </si>
</sst>
</file>

<file path=xl/styles.xml><?xml version="1.0" encoding="utf-8"?>
<styleSheet xmlns="http://schemas.openxmlformats.org/spreadsheetml/2006/main">
  <numFmts count="15">
    <numFmt numFmtId="164" formatCode="General"/>
    <numFmt numFmtId="165" formatCode="\$#,##0"/>
    <numFmt numFmtId="166" formatCode="#,##0"/>
    <numFmt numFmtId="167" formatCode="0"/>
    <numFmt numFmtId="168" formatCode="0.0%"/>
    <numFmt numFmtId="169" formatCode="\$#,##0.00"/>
    <numFmt numFmtId="170" formatCode="0.0"/>
    <numFmt numFmtId="171" formatCode="\$#,##0;&quot;($&quot;#,##0\);\-"/>
    <numFmt numFmtId="172" formatCode="\$#,##0.00;&quot;($&quot;#,##0.00\);\-"/>
    <numFmt numFmtId="173" formatCode="0.00%"/>
    <numFmt numFmtId="174" formatCode="\$#,##0"/>
    <numFmt numFmtId="175" formatCode="\$#,##0;&quot;($&quot;#,##0\);\-"/>
    <numFmt numFmtId="176" formatCode="0.00\x"/>
    <numFmt numFmtId="177" formatCode="[$$-409]#,##0.00;[RED]\-[$$-409]#,##0.00"/>
    <numFmt numFmtId="178" formatCode="\$#,##0.0"/>
  </numFmts>
  <fonts count="22">
    <font>
      <sz val="11"/>
      <color theme="1"/>
      <name val="Calibri"/>
      <family val="2"/>
      <charset val="1"/>
    </font>
    <font>
      <sz val="10"/>
      <name val="Arial"/>
      <family val="0"/>
    </font>
    <font>
      <sz val="10"/>
      <name val="Arial"/>
      <family val="0"/>
    </font>
    <font>
      <sz val="10"/>
      <name val="Arial"/>
      <family val="0"/>
    </font>
    <font>
      <b val="true"/>
      <sz val="30"/>
      <color rgb="FFFFFFFF"/>
      <name val="Arial"/>
      <family val="0"/>
      <charset val="1"/>
    </font>
    <font>
      <sz val="10"/>
      <color rgb="FFAACCBB"/>
      <name val="Arial"/>
      <family val="0"/>
      <charset val="1"/>
    </font>
    <font>
      <b val="true"/>
      <sz val="12"/>
      <color rgb="FF17E88F"/>
      <name val="Arial"/>
      <family val="0"/>
      <charset val="1"/>
    </font>
    <font>
      <sz val="10"/>
      <color rgb="FFFFFFFF"/>
      <name val="Arial"/>
      <family val="0"/>
      <charset val="1"/>
    </font>
    <font>
      <sz val="9"/>
      <color rgb="FFAACCBB"/>
      <name val="Arial"/>
      <family val="0"/>
      <charset val="1"/>
    </font>
    <font>
      <b val="true"/>
      <sz val="9"/>
      <color rgb="FFFFFFFF"/>
      <name val="Arial"/>
      <family val="0"/>
      <charset val="1"/>
    </font>
    <font>
      <b val="true"/>
      <sz val="9"/>
      <color rgb="FF666666"/>
      <name val="Arial"/>
      <family val="0"/>
      <charset val="1"/>
    </font>
    <font>
      <sz val="9"/>
      <color rgb="FF1A1A1A"/>
      <name val="Arial"/>
      <family val="0"/>
      <charset val="1"/>
    </font>
    <font>
      <i val="true"/>
      <sz val="8"/>
      <color rgb="FF666666"/>
      <name val="Arial"/>
      <family val="0"/>
      <charset val="1"/>
    </font>
    <font>
      <b val="true"/>
      <sz val="13"/>
      <color rgb="FFFFFFFF"/>
      <name val="Arial"/>
      <family val="0"/>
      <charset val="1"/>
    </font>
    <font>
      <sz val="9"/>
      <color rgb="FF0000FF"/>
      <name val="Arial"/>
      <family val="0"/>
      <charset val="1"/>
    </font>
    <font>
      <i val="true"/>
      <sz val="9"/>
      <color rgb="FF666666"/>
      <name val="Arial"/>
      <family val="0"/>
      <charset val="1"/>
    </font>
    <font>
      <b val="true"/>
      <sz val="9"/>
      <color rgb="FF1A1A1A"/>
      <name val="Arial"/>
      <family val="0"/>
      <charset val="1"/>
    </font>
    <font>
      <sz val="9"/>
      <color rgb="FF666666"/>
      <name val="Arial"/>
      <family val="0"/>
      <charset val="1"/>
    </font>
    <font>
      <b val="true"/>
      <sz val="9"/>
      <color rgb="FF1A6B35"/>
      <name val="Arial"/>
      <family val="0"/>
      <charset val="1"/>
    </font>
    <font>
      <b val="true"/>
      <sz val="9"/>
      <color rgb="FF154360"/>
      <name val="Arial"/>
      <family val="0"/>
      <charset val="1"/>
    </font>
    <font>
      <b val="true"/>
      <sz val="10"/>
      <color rgb="FF1A6B35"/>
      <name val="Arial"/>
      <family val="0"/>
      <charset val="1"/>
    </font>
    <font>
      <b val="true"/>
      <sz val="9"/>
      <color rgb="FF003F2D"/>
      <name val="Arial"/>
      <family val="0"/>
      <charset val="1"/>
    </font>
  </fonts>
  <fills count="13">
    <fill>
      <patternFill patternType="none"/>
    </fill>
    <fill>
      <patternFill patternType="gray125"/>
    </fill>
    <fill>
      <patternFill patternType="solid">
        <fgColor rgb="FF003F2D"/>
        <bgColor rgb="FF154360"/>
      </patternFill>
    </fill>
    <fill>
      <patternFill patternType="solid">
        <fgColor rgb="FF17803D"/>
        <bgColor rgb="FF1A6B35"/>
      </patternFill>
    </fill>
    <fill>
      <patternFill patternType="solid">
        <fgColor rgb="FFF0F7F4"/>
        <bgColor rgb="FFF5F5F5"/>
      </patternFill>
    </fill>
    <fill>
      <patternFill patternType="solid">
        <fgColor rgb="FFFFFFFF"/>
        <bgColor rgb="FFF5F5F5"/>
      </patternFill>
    </fill>
    <fill>
      <patternFill patternType="solid">
        <fgColor rgb="FFFFF3F3"/>
        <bgColor rgb="FFF5F5F5"/>
      </patternFill>
    </fill>
    <fill>
      <patternFill patternType="solid">
        <fgColor rgb="FFE0E0E0"/>
        <bgColor rgb="FFD4EDDA"/>
      </patternFill>
    </fill>
    <fill>
      <patternFill patternType="solid">
        <fgColor rgb="FFF5F5F5"/>
        <bgColor rgb="FFF0F7F4"/>
      </patternFill>
    </fill>
    <fill>
      <patternFill patternType="solid">
        <fgColor rgb="FFD4EDDA"/>
        <bgColor rgb="FFE0E0E0"/>
      </patternFill>
    </fill>
    <fill>
      <patternFill patternType="solid">
        <fgColor rgb="FFEBF5FB"/>
        <bgColor rgb="FFF0F7F4"/>
      </patternFill>
    </fill>
    <fill>
      <patternFill patternType="solid">
        <fgColor rgb="FFE8F5E9"/>
        <bgColor rgb="FFF0F7F4"/>
      </patternFill>
    </fill>
    <fill>
      <patternFill patternType="solid">
        <fgColor rgb="FF17E88F"/>
        <bgColor rgb="FF00FFFF"/>
      </patternFill>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0" fillId="3" borderId="0" xfId="0" applyFont="false" applyBorder="false" applyAlignment="tru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8" fillId="2" borderId="0" xfId="0" applyFont="true" applyBorder="true" applyAlignment="true" applyProtection="false">
      <alignment horizontal="left" vertical="center" textRotation="0" wrapText="false" indent="0" shrinkToFit="false"/>
      <protection locked="true" hidden="false"/>
    </xf>
    <xf numFmtId="164" fontId="9" fillId="2" borderId="1" xfId="0" applyFont="true" applyBorder="tru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true" applyAlignment="tru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false" indent="0" shrinkToFit="false"/>
      <protection locked="true" hidden="false"/>
    </xf>
    <xf numFmtId="165" fontId="14" fillId="0" borderId="1" xfId="0" applyFont="true" applyBorder="true" applyAlignment="true" applyProtection="false">
      <alignment horizontal="right" vertical="center" textRotation="0" wrapText="fals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6" fontId="14" fillId="0" borderId="1" xfId="0" applyFont="true" applyBorder="true" applyAlignment="true" applyProtection="false">
      <alignment horizontal="right" vertical="center" textRotation="0" wrapText="false" indent="0" shrinkToFit="false"/>
      <protection locked="true" hidden="false"/>
    </xf>
    <xf numFmtId="167" fontId="14" fillId="0" borderId="1" xfId="0" applyFont="true" applyBorder="true" applyAlignment="true" applyProtection="false">
      <alignment horizontal="right" vertical="center" textRotation="0" wrapText="false" indent="0" shrinkToFit="false"/>
      <protection locked="true" hidden="false"/>
    </xf>
    <xf numFmtId="168" fontId="14" fillId="0" borderId="1" xfId="0" applyFont="true" applyBorder="true" applyAlignment="true" applyProtection="false">
      <alignment horizontal="right" vertical="center" textRotation="0" wrapText="false" indent="0" shrinkToFit="false"/>
      <protection locked="true" hidden="false"/>
    </xf>
    <xf numFmtId="169" fontId="14" fillId="0" borderId="1" xfId="0" applyFont="true" applyBorder="true" applyAlignment="true" applyProtection="false">
      <alignment horizontal="right" vertical="center" textRotation="0" wrapText="false" indent="0" shrinkToFit="false"/>
      <protection locked="true" hidden="false"/>
    </xf>
    <xf numFmtId="164" fontId="9" fillId="2" borderId="1" xfId="0" applyFont="true" applyBorder="true" applyAlignment="true" applyProtection="false">
      <alignment horizontal="center" vertical="center" textRotation="0" wrapText="false" indent="0" shrinkToFit="false"/>
      <protection locked="true" hidden="false"/>
    </xf>
    <xf numFmtId="168" fontId="11" fillId="0" borderId="1" xfId="0" applyFont="true" applyBorder="true" applyAlignment="true" applyProtection="false">
      <alignment horizontal="right" vertical="center" textRotation="0" wrapText="false" indent="0" shrinkToFit="false"/>
      <protection locked="true" hidden="false"/>
    </xf>
    <xf numFmtId="169" fontId="11" fillId="0" borderId="1" xfId="0" applyFont="true" applyBorder="true" applyAlignment="true" applyProtection="false">
      <alignment horizontal="right" vertical="center" textRotation="0" wrapText="false" indent="0" shrinkToFit="false"/>
      <protection locked="true" hidden="false"/>
    </xf>
    <xf numFmtId="165" fontId="11" fillId="0" borderId="1" xfId="0" applyFont="true" applyBorder="true" applyAlignment="true" applyProtection="false">
      <alignment horizontal="right" vertical="center" textRotation="0" wrapText="false" indent="0" shrinkToFit="false"/>
      <protection locked="true" hidden="false"/>
    </xf>
    <xf numFmtId="164" fontId="11" fillId="0" borderId="1" xfId="0" applyFont="true" applyBorder="true" applyAlignment="true" applyProtection="false">
      <alignment horizontal="right" vertical="center" textRotation="0" wrapText="false" indent="0" shrinkToFit="false"/>
      <protection locked="true" hidden="false"/>
    </xf>
    <xf numFmtId="170" fontId="11" fillId="0" borderId="1" xfId="0" applyFont="true" applyBorder="true" applyAlignment="true" applyProtection="false">
      <alignment horizontal="right" vertical="center" textRotation="0" wrapText="false" indent="0" shrinkToFit="false"/>
      <protection locked="true" hidden="false"/>
    </xf>
    <xf numFmtId="164" fontId="15" fillId="6" borderId="1" xfId="0" applyFont="true" applyBorder="true" applyAlignment="true" applyProtection="false">
      <alignment horizontal="left" vertical="center" textRotation="0" wrapText="false" indent="0" shrinkToFit="false"/>
      <protection locked="true" hidden="false"/>
    </xf>
    <xf numFmtId="168" fontId="15" fillId="6" borderId="1" xfId="0" applyFont="true" applyBorder="true" applyAlignment="true" applyProtection="false">
      <alignment horizontal="right" vertical="center" textRotation="0" wrapText="false" indent="0" shrinkToFit="false"/>
      <protection locked="true" hidden="false"/>
    </xf>
    <xf numFmtId="164" fontId="15" fillId="6" borderId="1" xfId="0" applyFont="true" applyBorder="true" applyAlignment="true" applyProtection="false">
      <alignment horizontal="right" vertical="center" textRotation="0" wrapText="false" indent="0" shrinkToFit="false"/>
      <protection locked="true" hidden="false"/>
    </xf>
    <xf numFmtId="164" fontId="16" fillId="7" borderId="1" xfId="0" applyFont="true" applyBorder="true" applyAlignment="true" applyProtection="false">
      <alignment horizontal="left" vertical="center" textRotation="0" wrapText="false" indent="0" shrinkToFit="false"/>
      <protection locked="true" hidden="false"/>
    </xf>
    <xf numFmtId="166" fontId="16" fillId="7" borderId="1" xfId="0" applyFont="true" applyBorder="true" applyAlignment="true" applyProtection="false">
      <alignment horizontal="right" vertical="center" textRotation="0" wrapText="false" indent="0" shrinkToFit="false"/>
      <protection locked="true" hidden="false"/>
    </xf>
    <xf numFmtId="168" fontId="16" fillId="7" borderId="1" xfId="0" applyFont="true" applyBorder="true" applyAlignment="true" applyProtection="false">
      <alignment horizontal="right" vertical="center" textRotation="0" wrapText="false" indent="0" shrinkToFit="false"/>
      <protection locked="true" hidden="false"/>
    </xf>
    <xf numFmtId="164" fontId="16" fillId="7" borderId="1" xfId="0" applyFont="true" applyBorder="true" applyAlignment="true" applyProtection="false">
      <alignment horizontal="right" vertical="center" textRotation="0" wrapText="false" indent="0" shrinkToFit="false"/>
      <protection locked="true" hidden="false"/>
    </xf>
    <xf numFmtId="165" fontId="16" fillId="7" borderId="1" xfId="0" applyFont="true" applyBorder="true" applyAlignment="true" applyProtection="false">
      <alignment horizontal="right" vertical="center" textRotation="0" wrapText="false" indent="0" shrinkToFit="false"/>
      <protection locked="true" hidden="false"/>
    </xf>
    <xf numFmtId="166" fontId="11" fillId="0" borderId="1" xfId="0" applyFont="true" applyBorder="true" applyAlignment="true" applyProtection="false">
      <alignment horizontal="right" vertical="center" textRotation="0" wrapText="false" indent="0" shrinkToFit="false"/>
      <protection locked="true" hidden="false"/>
    </xf>
    <xf numFmtId="164" fontId="17" fillId="8" borderId="1" xfId="0" applyFont="true" applyBorder="true" applyAlignment="true" applyProtection="false">
      <alignment horizontal="left" vertical="center" textRotation="0" wrapText="false" indent="0" shrinkToFit="false"/>
      <protection locked="true" hidden="false"/>
    </xf>
    <xf numFmtId="168" fontId="17" fillId="8" borderId="1" xfId="0" applyFont="true" applyBorder="true" applyAlignment="true" applyProtection="false">
      <alignment horizontal="right" vertical="center" textRotation="0" wrapText="false" indent="0" shrinkToFit="false"/>
      <protection locked="true" hidden="false"/>
    </xf>
    <xf numFmtId="166" fontId="17" fillId="8" borderId="1" xfId="0" applyFont="true" applyBorder="true" applyAlignment="true" applyProtection="false">
      <alignment horizontal="right" vertical="center" textRotation="0" wrapText="false" indent="0" shrinkToFit="false"/>
      <protection locked="true" hidden="false"/>
    </xf>
    <xf numFmtId="171" fontId="14" fillId="0" borderId="1" xfId="0" applyFont="true" applyBorder="true" applyAlignment="true" applyProtection="false">
      <alignment horizontal="right" vertical="center" textRotation="0" wrapText="false" indent="0" shrinkToFit="false"/>
      <protection locked="true" hidden="false"/>
    </xf>
    <xf numFmtId="172" fontId="11" fillId="0" borderId="1" xfId="0" applyFont="true" applyBorder="true" applyAlignment="true" applyProtection="false">
      <alignment horizontal="right" vertical="center" textRotation="0" wrapText="false" indent="0" shrinkToFit="false"/>
      <protection locked="true" hidden="false"/>
    </xf>
    <xf numFmtId="169" fontId="16" fillId="7" borderId="1" xfId="0" applyFont="true" applyBorder="true" applyAlignment="true" applyProtection="false">
      <alignment horizontal="right" vertical="center" textRotation="0" wrapText="false" indent="0" shrinkToFit="false"/>
      <protection locked="true" hidden="false"/>
    </xf>
    <xf numFmtId="171" fontId="11" fillId="0" borderId="1" xfId="0" applyFont="true" applyBorder="true" applyAlignment="true" applyProtection="false">
      <alignment horizontal="right" vertical="center" textRotation="0" wrapText="false" indent="0" shrinkToFit="false"/>
      <protection locked="true" hidden="false"/>
    </xf>
    <xf numFmtId="171" fontId="16" fillId="7" borderId="1" xfId="0" applyFont="true" applyBorder="true" applyAlignment="true" applyProtection="false">
      <alignment horizontal="right" vertical="center" textRotation="0" wrapText="false" indent="0" shrinkToFit="false"/>
      <protection locked="true" hidden="false"/>
    </xf>
    <xf numFmtId="172" fontId="16" fillId="7" borderId="1" xfId="0" applyFont="true" applyBorder="true" applyAlignment="true" applyProtection="false">
      <alignment horizontal="right" vertical="center" textRotation="0" wrapText="false" indent="0" shrinkToFit="false"/>
      <protection locked="true" hidden="false"/>
    </xf>
    <xf numFmtId="164" fontId="16" fillId="9" borderId="1" xfId="0" applyFont="true" applyBorder="true" applyAlignment="true" applyProtection="false">
      <alignment horizontal="left" vertical="center" textRotation="0" wrapText="false" indent="0" shrinkToFit="false"/>
      <protection locked="true" hidden="false"/>
    </xf>
    <xf numFmtId="165" fontId="18" fillId="9" borderId="1" xfId="0" applyFont="true" applyBorder="true" applyAlignment="true" applyProtection="false">
      <alignment horizontal="right" vertical="center" textRotation="0" wrapText="false" indent="0" shrinkToFit="false"/>
      <protection locked="true" hidden="false"/>
    </xf>
    <xf numFmtId="169" fontId="18" fillId="9" borderId="1" xfId="0" applyFont="true" applyBorder="true" applyAlignment="true" applyProtection="false">
      <alignment horizontal="right" vertical="center" textRotation="0" wrapText="false" indent="0" shrinkToFit="false"/>
      <protection locked="true" hidden="false"/>
    </xf>
    <xf numFmtId="173" fontId="11" fillId="0" borderId="1" xfId="0" applyFont="true" applyBorder="true" applyAlignment="true" applyProtection="false">
      <alignment horizontal="right"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false" indent="0" shrinkToFit="false"/>
      <protection locked="true" hidden="false"/>
    </xf>
    <xf numFmtId="164" fontId="10" fillId="8" borderId="1" xfId="0" applyFont="true" applyBorder="true" applyAlignment="true" applyProtection="false">
      <alignment horizontal="center" vertical="center" textRotation="0" wrapText="false" indent="0" shrinkToFit="false"/>
      <protection locked="true" hidden="false"/>
    </xf>
    <xf numFmtId="174" fontId="11" fillId="0" borderId="1" xfId="0" applyFont="true" applyBorder="true" applyAlignment="true" applyProtection="false">
      <alignment horizontal="right" vertical="center" textRotation="0" wrapText="false" indent="0" shrinkToFit="false"/>
      <protection locked="true" hidden="false"/>
    </xf>
    <xf numFmtId="175" fontId="11" fillId="0" borderId="1" xfId="0" applyFont="true" applyBorder="true" applyAlignment="true" applyProtection="false">
      <alignment horizontal="right" vertical="center" textRotation="0" wrapText="false" indent="0" shrinkToFit="false"/>
      <protection locked="true" hidden="false"/>
    </xf>
    <xf numFmtId="174" fontId="16" fillId="7" borderId="1" xfId="0" applyFont="true" applyBorder="true" applyAlignment="true" applyProtection="false">
      <alignment horizontal="right" vertical="center" textRotation="0" wrapText="false" indent="0" shrinkToFit="false"/>
      <protection locked="true" hidden="false"/>
    </xf>
    <xf numFmtId="175" fontId="16" fillId="7" borderId="1" xfId="0" applyFont="true" applyBorder="true" applyAlignment="true" applyProtection="false">
      <alignment horizontal="right" vertical="center" textRotation="0" wrapText="false" indent="0" shrinkToFit="false"/>
      <protection locked="true" hidden="false"/>
    </xf>
    <xf numFmtId="174" fontId="18" fillId="9" borderId="1" xfId="0" applyFont="true" applyBorder="true" applyAlignment="true" applyProtection="false">
      <alignment horizontal="right" vertical="center" textRotation="0" wrapText="false" indent="0" shrinkToFit="false"/>
      <protection locked="true" hidden="false"/>
    </xf>
    <xf numFmtId="164" fontId="16" fillId="10" borderId="1" xfId="0" applyFont="true" applyBorder="true" applyAlignment="true" applyProtection="false">
      <alignment horizontal="left" vertical="center" textRotation="0" wrapText="false" indent="0" shrinkToFit="false"/>
      <protection locked="true" hidden="false"/>
    </xf>
    <xf numFmtId="175" fontId="19" fillId="10" borderId="1" xfId="0" applyFont="true" applyBorder="true" applyAlignment="true" applyProtection="false">
      <alignment horizontal="right" vertical="center" textRotation="0" wrapText="false" indent="0" shrinkToFit="false"/>
      <protection locked="true" hidden="false"/>
    </xf>
    <xf numFmtId="173" fontId="18" fillId="0" borderId="1" xfId="0" applyFont="true" applyBorder="true" applyAlignment="true" applyProtection="false">
      <alignment horizontal="right" vertical="center" textRotation="0" wrapText="false" indent="0" shrinkToFit="false"/>
      <protection locked="true" hidden="false"/>
    </xf>
    <xf numFmtId="173" fontId="19" fillId="0" borderId="1" xfId="0" applyFont="true" applyBorder="true" applyAlignment="true" applyProtection="false">
      <alignment horizontal="right" vertical="center" textRotation="0" wrapText="false" indent="0" shrinkToFit="false"/>
      <protection locked="true" hidden="false"/>
    </xf>
    <xf numFmtId="176" fontId="19" fillId="0" borderId="1" xfId="0" applyFont="true" applyBorder="true" applyAlignment="true" applyProtection="false">
      <alignment horizontal="right" vertical="center" textRotation="0" wrapText="false" indent="0" shrinkToFit="false"/>
      <protection locked="true" hidden="false"/>
    </xf>
    <xf numFmtId="165" fontId="0" fillId="0" borderId="0" xfId="0" applyFont="false" applyBorder="false" applyAlignment="true" applyProtection="false">
      <alignment horizontal="general" vertical="bottom" textRotation="0" wrapText="false" indent="0" shrinkToFit="false"/>
      <protection locked="true" hidden="false"/>
    </xf>
    <xf numFmtId="177" fontId="0" fillId="0" borderId="0" xfId="0" applyFont="false" applyBorder="false" applyAlignment="true" applyProtection="false">
      <alignment horizontal="general" vertical="bottom" textRotation="0" wrapText="false" indent="0" shrinkToFit="false"/>
      <protection locked="true" hidden="false"/>
    </xf>
    <xf numFmtId="175" fontId="0" fillId="0" borderId="0" xfId="0" applyFont="false" applyBorder="false" applyAlignment="true" applyProtection="false">
      <alignment horizontal="general" vertical="bottom" textRotation="0" wrapText="false" indent="0" shrinkToFit="false"/>
      <protection locked="true" hidden="false"/>
    </xf>
    <xf numFmtId="174" fontId="0" fillId="0" borderId="0" xfId="0" applyFont="false" applyBorder="false" applyAlignment="true" applyProtection="false">
      <alignment horizontal="general" vertical="bottom" textRotation="0" wrapText="false" indent="0" shrinkToFit="false"/>
      <protection locked="true" hidden="false"/>
    </xf>
    <xf numFmtId="165" fontId="20" fillId="9" borderId="1" xfId="0" applyFont="true" applyBorder="true" applyAlignment="true" applyProtection="false">
      <alignment horizontal="right" vertical="center" textRotation="0" wrapText="false" indent="0" shrinkToFit="false"/>
      <protection locked="true" hidden="false"/>
    </xf>
    <xf numFmtId="169" fontId="0" fillId="0" borderId="1" xfId="0" applyFont="false" applyBorder="true" applyAlignment="true" applyProtection="false">
      <alignment horizontal="right" vertical="center" textRotation="0" wrapText="false" indent="0" shrinkToFit="false"/>
      <protection locked="true" hidden="false"/>
    </xf>
    <xf numFmtId="164" fontId="11" fillId="8" borderId="1" xfId="0" applyFont="true" applyBorder="true" applyAlignment="true" applyProtection="false">
      <alignment horizontal="left" vertical="center" textRotation="0" wrapText="false" indent="0" shrinkToFit="false"/>
      <protection locked="true" hidden="false"/>
    </xf>
    <xf numFmtId="178" fontId="11" fillId="0" borderId="1" xfId="0" applyFont="true" applyBorder="true" applyAlignment="true" applyProtection="false">
      <alignment horizontal="right" vertical="center" textRotation="0" wrapText="false" indent="0" shrinkToFit="false"/>
      <protection locked="true" hidden="false"/>
    </xf>
    <xf numFmtId="178" fontId="16" fillId="11" borderId="1" xfId="0" applyFont="true" applyBorder="true" applyAlignment="true" applyProtection="false">
      <alignment horizontal="right" vertical="center" textRotation="0" wrapText="false" indent="0" shrinkToFit="false"/>
      <protection locked="true" hidden="false"/>
    </xf>
    <xf numFmtId="178" fontId="21" fillId="12" borderId="1" xfId="0" applyFont="true" applyBorder="true" applyAlignment="true" applyProtection="false">
      <alignment horizontal="right" vertical="center" textRotation="0" wrapText="false" indent="0" shrinkToFit="false"/>
      <protection locked="true" hidden="false"/>
    </xf>
    <xf numFmtId="173" fontId="16" fillId="11" borderId="1" xfId="0" applyFont="true" applyBorder="true" applyAlignment="true" applyProtection="false">
      <alignment horizontal="right" vertical="center" textRotation="0" wrapText="false" indent="0" shrinkToFit="false"/>
      <protection locked="true" hidden="false"/>
    </xf>
    <xf numFmtId="173" fontId="21" fillId="12"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17803D"/>
      <rgbColor rgb="FF000080"/>
      <rgbColor rgb="FF808000"/>
      <rgbColor rgb="FF800080"/>
      <rgbColor rgb="FF1A6B35"/>
      <rgbColor rgb="FFCCCCCC"/>
      <rgbColor rgb="FF808080"/>
      <rgbColor rgb="FF9999FF"/>
      <rgbColor rgb="FF993366"/>
      <rgbColor rgb="FFFFF3F3"/>
      <rgbColor rgb="FFE8F5E9"/>
      <rgbColor rgb="FF660066"/>
      <rgbColor rgb="FFFF8080"/>
      <rgbColor rgb="FF0066CC"/>
      <rgbColor rgb="FFE0E0E0"/>
      <rgbColor rgb="FF000080"/>
      <rgbColor rgb="FFFF00FF"/>
      <rgbColor rgb="FFFFFF00"/>
      <rgbColor rgb="FF00FFFF"/>
      <rgbColor rgb="FF800080"/>
      <rgbColor rgb="FF800000"/>
      <rgbColor rgb="FF008080"/>
      <rgbColor rgb="FF0000FF"/>
      <rgbColor rgb="FF00CCFF"/>
      <rgbColor rgb="FFEBF5FB"/>
      <rgbColor rgb="FFD4EDDA"/>
      <rgbColor rgb="FFF0F7F4"/>
      <rgbColor rgb="FFAACCBB"/>
      <rgbColor rgb="FFFF99CC"/>
      <rgbColor rgb="FFCC99FF"/>
      <rgbColor rgb="FFF5F5F5"/>
      <rgbColor rgb="FF3366FF"/>
      <rgbColor rgb="FF17E88F"/>
      <rgbColor rgb="FF99CC00"/>
      <rgbColor rgb="FFFFCC00"/>
      <rgbColor rgb="FFFF9900"/>
      <rgbColor rgb="FFFF6600"/>
      <rgbColor rgb="FF666666"/>
      <rgbColor rgb="FF969696"/>
      <rgbColor rgb="FF154360"/>
      <rgbColor rgb="FF339966"/>
      <rgbColor rgb="FF003F2D"/>
      <rgbColor rgb="FF333300"/>
      <rgbColor rgb="FF993300"/>
      <rgbColor rgb="FF993366"/>
      <rgbColor rgb="FF333399"/>
      <rgbColor rgb="FF1A1A1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32"/>
    <col collapsed="false" customWidth="true" hidden="false" outlineLevel="0" max="9" min="3" style="1" width="14"/>
  </cols>
  <sheetData>
    <row r="1" customFormat="false" ht="18" hidden="false" customHeight="true" outlineLevel="0" collapsed="false">
      <c r="A1" s="2"/>
      <c r="B1" s="2"/>
      <c r="C1" s="2"/>
      <c r="D1" s="2"/>
      <c r="E1" s="2"/>
      <c r="F1" s="2"/>
      <c r="G1" s="2"/>
      <c r="H1" s="2"/>
      <c r="I1" s="2"/>
    </row>
    <row r="2" customFormat="false" ht="42" hidden="false" customHeight="true" outlineLevel="0" collapsed="false">
      <c r="A2" s="2"/>
      <c r="B2" s="3" t="s">
        <v>0</v>
      </c>
      <c r="C2" s="3"/>
      <c r="D2" s="3"/>
      <c r="E2" s="3"/>
      <c r="F2" s="3"/>
      <c r="G2" s="3"/>
      <c r="H2" s="3"/>
      <c r="I2" s="3"/>
    </row>
    <row r="3" customFormat="false" ht="18" hidden="false" customHeight="true" outlineLevel="0" collapsed="false">
      <c r="A3" s="2"/>
      <c r="B3" s="4" t="s">
        <v>1</v>
      </c>
      <c r="C3" s="4"/>
      <c r="D3" s="4"/>
      <c r="E3" s="4"/>
      <c r="F3" s="4"/>
      <c r="G3" s="4"/>
      <c r="H3" s="4"/>
      <c r="I3" s="4"/>
    </row>
    <row r="4" customFormat="false" ht="18" hidden="false" customHeight="true" outlineLevel="0" collapsed="false">
      <c r="A4" s="2"/>
      <c r="B4" s="5"/>
      <c r="C4" s="5"/>
      <c r="D4" s="5"/>
      <c r="E4" s="5"/>
      <c r="F4" s="5"/>
      <c r="G4" s="5"/>
      <c r="H4" s="5"/>
      <c r="I4" s="5"/>
    </row>
    <row r="5" customFormat="false" ht="18" hidden="false" customHeight="true" outlineLevel="0" collapsed="false">
      <c r="A5" s="2"/>
      <c r="B5" s="6" t="s">
        <v>2</v>
      </c>
      <c r="C5" s="6"/>
      <c r="D5" s="6"/>
      <c r="E5" s="6"/>
      <c r="F5" s="6"/>
      <c r="G5" s="6"/>
      <c r="H5" s="6"/>
      <c r="I5" s="6"/>
    </row>
    <row r="6" customFormat="false" ht="18" hidden="false" customHeight="true" outlineLevel="0" collapsed="false">
      <c r="A6" s="2"/>
      <c r="B6" s="7" t="s">
        <v>3</v>
      </c>
      <c r="C6" s="7"/>
      <c r="D6" s="7"/>
      <c r="E6" s="7"/>
      <c r="F6" s="7"/>
      <c r="G6" s="7"/>
      <c r="H6" s="7"/>
      <c r="I6" s="7"/>
    </row>
    <row r="7" customFormat="false" ht="18" hidden="false" customHeight="true" outlineLevel="0" collapsed="false">
      <c r="A7" s="2"/>
      <c r="B7" s="8" t="s">
        <v>4</v>
      </c>
      <c r="C7" s="8"/>
      <c r="D7" s="8"/>
      <c r="E7" s="8"/>
      <c r="F7" s="8"/>
      <c r="G7" s="8"/>
      <c r="H7" s="8"/>
      <c r="I7" s="8"/>
    </row>
    <row r="8" customFormat="false" ht="18" hidden="false" customHeight="true" outlineLevel="0" collapsed="false">
      <c r="A8" s="2"/>
      <c r="B8" s="2"/>
      <c r="C8" s="2"/>
      <c r="D8" s="2"/>
      <c r="E8" s="2"/>
      <c r="F8" s="2"/>
      <c r="G8" s="2"/>
      <c r="H8" s="2"/>
      <c r="I8" s="2"/>
    </row>
    <row r="9" customFormat="false" ht="15.75" hidden="false" customHeight="true" outlineLevel="0" collapsed="false">
      <c r="B9" s="9" t="s">
        <v>5</v>
      </c>
      <c r="C9" s="9"/>
      <c r="D9" s="9"/>
      <c r="E9" s="9"/>
      <c r="F9" s="9"/>
      <c r="G9" s="9"/>
      <c r="H9" s="9"/>
      <c r="I9" s="9"/>
    </row>
    <row r="10" customFormat="false" ht="15.75" hidden="false" customHeight="true" outlineLevel="0" collapsed="false">
      <c r="B10" s="10" t="s">
        <v>6</v>
      </c>
      <c r="C10" s="10"/>
      <c r="D10" s="11" t="s">
        <v>7</v>
      </c>
      <c r="E10" s="11"/>
      <c r="F10" s="11"/>
      <c r="G10" s="11"/>
      <c r="H10" s="11"/>
      <c r="I10" s="11"/>
    </row>
    <row r="11" customFormat="false" ht="15.75" hidden="false" customHeight="true" outlineLevel="0" collapsed="false">
      <c r="B11" s="10" t="s">
        <v>8</v>
      </c>
      <c r="C11" s="10"/>
      <c r="D11" s="11" t="s">
        <v>9</v>
      </c>
      <c r="E11" s="11"/>
      <c r="F11" s="11"/>
      <c r="G11" s="11"/>
      <c r="H11" s="11"/>
      <c r="I11" s="11"/>
    </row>
    <row r="12" customFormat="false" ht="15.75" hidden="false" customHeight="true" outlineLevel="0" collapsed="false">
      <c r="B12" s="10" t="s">
        <v>10</v>
      </c>
      <c r="C12" s="10"/>
      <c r="D12" s="11" t="s">
        <v>11</v>
      </c>
      <c r="E12" s="11"/>
      <c r="F12" s="11"/>
      <c r="G12" s="11"/>
      <c r="H12" s="11"/>
      <c r="I12" s="11"/>
    </row>
    <row r="13" customFormat="false" ht="15.75" hidden="false" customHeight="true" outlineLevel="0" collapsed="false">
      <c r="B13" s="10" t="s">
        <v>12</v>
      </c>
      <c r="C13" s="10"/>
      <c r="D13" s="11" t="s">
        <v>13</v>
      </c>
      <c r="E13" s="11"/>
      <c r="F13" s="11"/>
      <c r="G13" s="11"/>
      <c r="H13" s="11"/>
      <c r="I13" s="11"/>
    </row>
    <row r="14" customFormat="false" ht="15.75" hidden="false" customHeight="true" outlineLevel="0" collapsed="false">
      <c r="B14" s="10" t="s">
        <v>14</v>
      </c>
      <c r="C14" s="10"/>
      <c r="D14" s="11" t="s">
        <v>15</v>
      </c>
      <c r="E14" s="11"/>
      <c r="F14" s="11"/>
      <c r="G14" s="11"/>
      <c r="H14" s="11"/>
      <c r="I14" s="11"/>
    </row>
    <row r="15" customFormat="false" ht="15.75" hidden="false" customHeight="true" outlineLevel="0" collapsed="false">
      <c r="B15" s="10" t="s">
        <v>16</v>
      </c>
      <c r="C15" s="10"/>
      <c r="D15" s="11" t="s">
        <v>17</v>
      </c>
      <c r="E15" s="11"/>
      <c r="F15" s="11"/>
      <c r="G15" s="11"/>
      <c r="H15" s="11"/>
      <c r="I15" s="11"/>
    </row>
    <row r="16" customFormat="false" ht="15.75" hidden="false" customHeight="true" outlineLevel="0" collapsed="false">
      <c r="B16" s="10" t="s">
        <v>18</v>
      </c>
      <c r="C16" s="10"/>
      <c r="D16" s="11" t="s">
        <v>19</v>
      </c>
      <c r="E16" s="11"/>
      <c r="F16" s="11"/>
      <c r="G16" s="11"/>
      <c r="H16" s="11"/>
      <c r="I16" s="11"/>
    </row>
    <row r="17" customFormat="false" ht="15.75" hidden="false" customHeight="true" outlineLevel="0" collapsed="false"/>
    <row r="18" customFormat="false" ht="15.75" hidden="false" customHeight="true" outlineLevel="0" collapsed="false">
      <c r="B18" s="9" t="s">
        <v>20</v>
      </c>
      <c r="C18" s="9"/>
      <c r="D18" s="9"/>
      <c r="E18" s="9"/>
      <c r="F18" s="9"/>
      <c r="G18" s="9"/>
      <c r="H18" s="9"/>
      <c r="I18" s="9"/>
    </row>
    <row r="19" customFormat="false" ht="15.75" hidden="false" customHeight="true" outlineLevel="0" collapsed="false">
      <c r="B19" s="10" t="s">
        <v>21</v>
      </c>
      <c r="C19" s="10"/>
      <c r="D19" s="11" t="s">
        <v>22</v>
      </c>
      <c r="E19" s="11"/>
      <c r="F19" s="11"/>
      <c r="G19" s="11"/>
      <c r="H19" s="11"/>
      <c r="I19" s="11"/>
    </row>
    <row r="20" customFormat="false" ht="15.75" hidden="false" customHeight="true" outlineLevel="0" collapsed="false">
      <c r="B20" s="10" t="s">
        <v>23</v>
      </c>
      <c r="C20" s="10"/>
      <c r="D20" s="11" t="s">
        <v>24</v>
      </c>
      <c r="E20" s="11"/>
      <c r="F20" s="11"/>
      <c r="G20" s="11"/>
      <c r="H20" s="11"/>
      <c r="I20" s="11"/>
    </row>
    <row r="21" customFormat="false" ht="15.75" hidden="false" customHeight="true" outlineLevel="0" collapsed="false">
      <c r="B21" s="10" t="s">
        <v>25</v>
      </c>
      <c r="C21" s="10"/>
      <c r="D21" s="11" t="s">
        <v>26</v>
      </c>
      <c r="E21" s="11"/>
      <c r="F21" s="11"/>
      <c r="G21" s="11"/>
      <c r="H21" s="11"/>
      <c r="I21" s="11"/>
    </row>
    <row r="22" customFormat="false" ht="15.75" hidden="false" customHeight="true" outlineLevel="0" collapsed="false">
      <c r="B22" s="10" t="s">
        <v>27</v>
      </c>
      <c r="C22" s="10"/>
      <c r="D22" s="11" t="s">
        <v>28</v>
      </c>
      <c r="E22" s="11"/>
      <c r="F22" s="11"/>
      <c r="G22" s="11"/>
      <c r="H22" s="11"/>
      <c r="I22" s="11"/>
    </row>
    <row r="23" customFormat="false" ht="15.75" hidden="false" customHeight="true" outlineLevel="0" collapsed="false">
      <c r="B23" s="10" t="s">
        <v>29</v>
      </c>
      <c r="C23" s="10"/>
      <c r="D23" s="11" t="s">
        <v>30</v>
      </c>
      <c r="E23" s="11"/>
      <c r="F23" s="11"/>
      <c r="G23" s="11"/>
      <c r="H23" s="11"/>
      <c r="I23" s="11"/>
    </row>
    <row r="24" customFormat="false" ht="15.75" hidden="false" customHeight="true" outlineLevel="0" collapsed="false">
      <c r="B24" s="10" t="s">
        <v>31</v>
      </c>
      <c r="C24" s="10"/>
      <c r="D24" s="11" t="s">
        <v>32</v>
      </c>
      <c r="E24" s="11"/>
      <c r="F24" s="11"/>
      <c r="G24" s="11"/>
      <c r="H24" s="11"/>
      <c r="I24" s="11"/>
    </row>
    <row r="25" customFormat="false" ht="15.75" hidden="false" customHeight="true" outlineLevel="0" collapsed="false">
      <c r="B25" s="10" t="s">
        <v>33</v>
      </c>
      <c r="C25" s="10"/>
      <c r="D25" s="11" t="s">
        <v>34</v>
      </c>
      <c r="E25" s="11"/>
      <c r="F25" s="11"/>
      <c r="G25" s="11"/>
      <c r="H25" s="11"/>
      <c r="I25" s="11"/>
    </row>
    <row r="26" customFormat="false" ht="15.75" hidden="false" customHeight="true" outlineLevel="0" collapsed="false">
      <c r="B26" s="10" t="s">
        <v>35</v>
      </c>
      <c r="C26" s="10"/>
      <c r="D26" s="11" t="s">
        <v>36</v>
      </c>
      <c r="E26" s="11"/>
      <c r="F26" s="11"/>
      <c r="G26" s="11"/>
      <c r="H26" s="11"/>
      <c r="I26" s="11"/>
    </row>
    <row r="27" customFormat="false" ht="15.75" hidden="false" customHeight="true" outlineLevel="0" collapsed="false"/>
    <row r="28" customFormat="false" ht="15.75" hidden="false" customHeight="true" outlineLevel="0" collapsed="false">
      <c r="B28" s="9" t="s">
        <v>37</v>
      </c>
      <c r="C28" s="9"/>
      <c r="D28" s="9"/>
      <c r="E28" s="9"/>
      <c r="F28" s="9"/>
      <c r="G28" s="9"/>
      <c r="H28" s="9"/>
      <c r="I28" s="9"/>
    </row>
    <row r="29" customFormat="false" ht="15.75" hidden="false" customHeight="true" outlineLevel="0" collapsed="false">
      <c r="B29" s="10" t="s">
        <v>38</v>
      </c>
      <c r="C29" s="10"/>
      <c r="D29" s="11" t="s">
        <v>39</v>
      </c>
      <c r="E29" s="11"/>
      <c r="F29" s="11"/>
      <c r="G29" s="11"/>
      <c r="H29" s="11"/>
      <c r="I29" s="11"/>
    </row>
    <row r="30" customFormat="false" ht="15.75" hidden="false" customHeight="true" outlineLevel="0" collapsed="false">
      <c r="B30" s="10" t="s">
        <v>40</v>
      </c>
      <c r="C30" s="10"/>
      <c r="D30" s="11" t="s">
        <v>41</v>
      </c>
      <c r="E30" s="11"/>
      <c r="F30" s="11"/>
      <c r="G30" s="11"/>
      <c r="H30" s="11"/>
      <c r="I30" s="11"/>
    </row>
    <row r="31" customFormat="false" ht="15.75" hidden="false" customHeight="true" outlineLevel="0" collapsed="false">
      <c r="B31" s="10" t="s">
        <v>42</v>
      </c>
      <c r="C31" s="10"/>
      <c r="D31" s="11" t="s">
        <v>43</v>
      </c>
      <c r="E31" s="11"/>
      <c r="F31" s="11"/>
      <c r="G31" s="11"/>
      <c r="H31" s="11"/>
      <c r="I31" s="11"/>
    </row>
    <row r="32" customFormat="false" ht="15.75" hidden="false" customHeight="true" outlineLevel="0" collapsed="false"/>
    <row r="33" customFormat="false" ht="39.75" hidden="false" customHeight="true" outlineLevel="0" collapsed="false">
      <c r="B33" s="12" t="s">
        <v>44</v>
      </c>
      <c r="C33" s="12"/>
      <c r="D33" s="12"/>
      <c r="E33" s="12"/>
      <c r="F33" s="12"/>
      <c r="G33" s="12"/>
      <c r="H33" s="12"/>
      <c r="I33" s="12"/>
    </row>
    <row r="34" customFormat="false" ht="15.75" hidden="false" customHeight="true" outlineLevel="0" collapsed="false">
      <c r="B34" s="12"/>
      <c r="C34" s="12"/>
      <c r="D34" s="12"/>
      <c r="E34" s="12"/>
      <c r="F34" s="12"/>
      <c r="G34" s="12"/>
      <c r="H34" s="12"/>
      <c r="I34" s="12"/>
    </row>
    <row r="35" customFormat="false" ht="15.75" hidden="false" customHeight="true" outlineLevel="0" collapsed="false">
      <c r="B35" s="12"/>
      <c r="C35" s="12"/>
      <c r="D35" s="12"/>
      <c r="E35" s="12"/>
      <c r="F35" s="12"/>
      <c r="G35" s="12"/>
      <c r="H35" s="12"/>
      <c r="I35" s="12"/>
    </row>
  </sheetData>
  <mergeCells count="45">
    <mergeCell ref="B2:I2"/>
    <mergeCell ref="B3:I3"/>
    <mergeCell ref="B5:I5"/>
    <mergeCell ref="B6:I6"/>
    <mergeCell ref="B7:I7"/>
    <mergeCell ref="B9:I9"/>
    <mergeCell ref="B10:C10"/>
    <mergeCell ref="D10:I10"/>
    <mergeCell ref="B11:C11"/>
    <mergeCell ref="D11:I11"/>
    <mergeCell ref="B12:C12"/>
    <mergeCell ref="D12:I12"/>
    <mergeCell ref="B13:C13"/>
    <mergeCell ref="D13:I13"/>
    <mergeCell ref="B14:C14"/>
    <mergeCell ref="D14:I14"/>
    <mergeCell ref="B15:C15"/>
    <mergeCell ref="D15:I15"/>
    <mergeCell ref="B16:C16"/>
    <mergeCell ref="D16:I16"/>
    <mergeCell ref="B18:I18"/>
    <mergeCell ref="B19:C19"/>
    <mergeCell ref="D19:I19"/>
    <mergeCell ref="B20:C20"/>
    <mergeCell ref="D20:I20"/>
    <mergeCell ref="B21:C21"/>
    <mergeCell ref="D21:I21"/>
    <mergeCell ref="B22:C22"/>
    <mergeCell ref="D22:I22"/>
    <mergeCell ref="B23:C23"/>
    <mergeCell ref="D23:I23"/>
    <mergeCell ref="B24:C24"/>
    <mergeCell ref="D24:I24"/>
    <mergeCell ref="B25:C25"/>
    <mergeCell ref="D25:I25"/>
    <mergeCell ref="B26:C26"/>
    <mergeCell ref="D26:I26"/>
    <mergeCell ref="B28:I28"/>
    <mergeCell ref="B29:C29"/>
    <mergeCell ref="D29:I29"/>
    <mergeCell ref="B30:C30"/>
    <mergeCell ref="D30:I30"/>
    <mergeCell ref="B31:C31"/>
    <mergeCell ref="D31:I31"/>
    <mergeCell ref="B33:I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2"/>
    <col collapsed="false" customWidth="true" hidden="false" outlineLevel="0" max="3" min="3" style="1" width="16"/>
    <col collapsed="false" customWidth="true" hidden="false" outlineLevel="0" max="4" min="4" style="1" width="26"/>
    <col collapsed="false" customWidth="true" hidden="false" outlineLevel="0" max="5" min="5" style="1" width="3"/>
  </cols>
  <sheetData>
    <row r="1" customFormat="false" ht="15.75" hidden="false" customHeight="true" outlineLevel="0" collapsed="false"/>
    <row r="2" customFormat="false" ht="30" hidden="false" customHeight="true" outlineLevel="0" collapsed="false">
      <c r="A2" s="2"/>
      <c r="B2" s="13" t="s">
        <v>45</v>
      </c>
      <c r="C2" s="13"/>
      <c r="D2" s="13"/>
      <c r="E2" s="2"/>
    </row>
    <row r="3" customFormat="false" ht="15.75" hidden="false" customHeight="true" outlineLevel="0" collapsed="false">
      <c r="B3" s="14" t="s">
        <v>46</v>
      </c>
      <c r="C3" s="14"/>
      <c r="D3" s="14"/>
    </row>
    <row r="4" customFormat="false" ht="15.75" hidden="false" customHeight="true" outlineLevel="0" collapsed="false">
      <c r="B4" s="15" t="s">
        <v>47</v>
      </c>
      <c r="C4" s="15"/>
      <c r="D4" s="15"/>
    </row>
    <row r="5" customFormat="false" ht="15.75" hidden="false" customHeight="true" outlineLevel="0" collapsed="false">
      <c r="B5" s="16" t="s">
        <v>48</v>
      </c>
      <c r="C5" s="17" t="n">
        <v>134600000</v>
      </c>
      <c r="D5" s="18" t="s">
        <v>49</v>
      </c>
    </row>
    <row r="6" customFormat="false" ht="15.75" hidden="false" customHeight="true" outlineLevel="0" collapsed="false">
      <c r="B6" s="16" t="s">
        <v>50</v>
      </c>
      <c r="C6" s="19" t="n">
        <v>210000</v>
      </c>
      <c r="D6" s="18" t="s">
        <v>51</v>
      </c>
    </row>
    <row r="7" customFormat="false" ht="15.75" hidden="false" customHeight="true" outlineLevel="0" collapsed="false">
      <c r="B7" s="16" t="s">
        <v>52</v>
      </c>
      <c r="C7" s="20" t="n">
        <v>17</v>
      </c>
      <c r="D7" s="18" t="s">
        <v>51</v>
      </c>
    </row>
    <row r="8" customFormat="false" ht="15.75" hidden="false" customHeight="true" outlineLevel="0" collapsed="false">
      <c r="B8" s="16" t="s">
        <v>53</v>
      </c>
      <c r="C8" s="17" t="n">
        <v>2692000</v>
      </c>
      <c r="D8" s="18" t="s">
        <v>54</v>
      </c>
    </row>
    <row r="9" customFormat="false" ht="15.75" hidden="false" customHeight="true" outlineLevel="0" collapsed="false"/>
    <row r="10" customFormat="false" ht="15.75" hidden="false" customHeight="true" outlineLevel="0" collapsed="false">
      <c r="B10" s="15" t="s">
        <v>55</v>
      </c>
      <c r="C10" s="15"/>
      <c r="D10" s="15"/>
    </row>
    <row r="11" customFormat="false" ht="15.75" hidden="false" customHeight="true" outlineLevel="0" collapsed="false">
      <c r="B11" s="16" t="s">
        <v>56</v>
      </c>
      <c r="C11" s="21" t="n">
        <v>0.925</v>
      </c>
      <c r="D11" s="18" t="s">
        <v>57</v>
      </c>
    </row>
    <row r="12" customFormat="false" ht="15.75" hidden="false" customHeight="true" outlineLevel="0" collapsed="false">
      <c r="B12" s="16" t="s">
        <v>58</v>
      </c>
      <c r="C12" s="21" t="n">
        <v>0.95</v>
      </c>
      <c r="D12" s="18" t="s">
        <v>59</v>
      </c>
    </row>
    <row r="13" customFormat="false" ht="15.75" hidden="false" customHeight="true" outlineLevel="0" collapsed="false">
      <c r="B13" s="16" t="s">
        <v>60</v>
      </c>
      <c r="C13" s="22" t="n">
        <v>31</v>
      </c>
      <c r="D13" s="18" t="s">
        <v>61</v>
      </c>
    </row>
    <row r="14" customFormat="false" ht="15.75" hidden="false" customHeight="true" outlineLevel="0" collapsed="false">
      <c r="B14" s="16" t="s">
        <v>62</v>
      </c>
      <c r="C14" s="21" t="n">
        <v>0.025</v>
      </c>
      <c r="D14" s="18" t="s">
        <v>63</v>
      </c>
    </row>
    <row r="15" customFormat="false" ht="15.75" hidden="false" customHeight="true" outlineLevel="0" collapsed="false">
      <c r="B15" s="16" t="s">
        <v>64</v>
      </c>
      <c r="C15" s="21" t="n">
        <v>0.02</v>
      </c>
      <c r="D15" s="18" t="s">
        <v>65</v>
      </c>
    </row>
    <row r="16" customFormat="false" ht="15.75" hidden="false" customHeight="true" outlineLevel="0" collapsed="false">
      <c r="B16" s="16" t="s">
        <v>66</v>
      </c>
      <c r="C16" s="22" t="n">
        <v>1.5</v>
      </c>
      <c r="D16" s="18" t="s">
        <v>67</v>
      </c>
    </row>
    <row r="17" customFormat="false" ht="15.75" hidden="false" customHeight="true" outlineLevel="0" collapsed="false">
      <c r="B17" s="16" t="s">
        <v>68</v>
      </c>
      <c r="C17" s="21" t="n">
        <v>0.02</v>
      </c>
      <c r="D17" s="18" t="s">
        <v>69</v>
      </c>
    </row>
    <row r="18" customFormat="false" ht="15.75" hidden="false" customHeight="true" outlineLevel="0" collapsed="false"/>
    <row r="19" customFormat="false" ht="15.75" hidden="false" customHeight="true" outlineLevel="0" collapsed="false">
      <c r="B19" s="15" t="s">
        <v>70</v>
      </c>
      <c r="C19" s="15"/>
      <c r="D19" s="15"/>
    </row>
    <row r="20" customFormat="false" ht="15.75" hidden="false" customHeight="true" outlineLevel="0" collapsed="false">
      <c r="B20" s="16" t="s">
        <v>71</v>
      </c>
      <c r="C20" s="22" t="n">
        <v>3</v>
      </c>
      <c r="D20" s="18" t="s">
        <v>72</v>
      </c>
    </row>
    <row r="21" customFormat="false" ht="15.75" hidden="false" customHeight="true" outlineLevel="0" collapsed="false">
      <c r="B21" s="16" t="s">
        <v>73</v>
      </c>
      <c r="C21" s="22" t="n">
        <v>0.5</v>
      </c>
      <c r="D21" s="18" t="s">
        <v>74</v>
      </c>
    </row>
    <row r="22" customFormat="false" ht="15.75" hidden="false" customHeight="true" outlineLevel="0" collapsed="false">
      <c r="B22" s="16" t="s">
        <v>75</v>
      </c>
      <c r="C22" s="21" t="n">
        <v>0.04</v>
      </c>
      <c r="D22" s="18" t="s">
        <v>76</v>
      </c>
    </row>
    <row r="23" customFormat="false" ht="15.75" hidden="false" customHeight="true" outlineLevel="0" collapsed="false">
      <c r="B23" s="16" t="s">
        <v>77</v>
      </c>
      <c r="C23" s="22" t="n">
        <v>1.2</v>
      </c>
      <c r="D23" s="18" t="s">
        <v>78</v>
      </c>
    </row>
    <row r="24" customFormat="false" ht="15.75" hidden="false" customHeight="true" outlineLevel="0" collapsed="false">
      <c r="B24" s="16" t="s">
        <v>79</v>
      </c>
      <c r="C24" s="22" t="n">
        <v>1.8</v>
      </c>
      <c r="D24" s="18" t="s">
        <v>80</v>
      </c>
    </row>
    <row r="25" customFormat="false" ht="15.75" hidden="false" customHeight="true" outlineLevel="0" collapsed="false">
      <c r="B25" s="16" t="s">
        <v>81</v>
      </c>
      <c r="C25" s="22" t="n">
        <v>0.6</v>
      </c>
      <c r="D25" s="18" t="s">
        <v>82</v>
      </c>
    </row>
    <row r="26" customFormat="false" ht="15.75" hidden="false" customHeight="true" outlineLevel="0" collapsed="false">
      <c r="B26" s="16" t="s">
        <v>83</v>
      </c>
      <c r="C26" s="21" t="n">
        <v>0.02</v>
      </c>
      <c r="D26" s="18" t="s">
        <v>84</v>
      </c>
    </row>
    <row r="27" customFormat="false" ht="15.75" hidden="false" customHeight="true" outlineLevel="0" collapsed="false">
      <c r="B27" s="16" t="s">
        <v>85</v>
      </c>
      <c r="C27" s="22" t="n">
        <v>1</v>
      </c>
      <c r="D27" s="18" t="s">
        <v>86</v>
      </c>
    </row>
    <row r="28" customFormat="false" ht="15.75" hidden="false" customHeight="true" outlineLevel="0" collapsed="false"/>
    <row r="29" customFormat="false" ht="15.75" hidden="false" customHeight="true" outlineLevel="0" collapsed="false">
      <c r="B29" s="15" t="s">
        <v>87</v>
      </c>
      <c r="C29" s="15"/>
      <c r="D29" s="15"/>
    </row>
    <row r="30" customFormat="false" ht="15.75" hidden="false" customHeight="true" outlineLevel="0" collapsed="false">
      <c r="B30" s="16" t="s">
        <v>88</v>
      </c>
      <c r="C30" s="21" t="n">
        <v>0.6</v>
      </c>
      <c r="D30" s="18" t="s">
        <v>89</v>
      </c>
    </row>
    <row r="31" customFormat="false" ht="15.75" hidden="false" customHeight="true" outlineLevel="0" collapsed="false">
      <c r="B31" s="16" t="s">
        <v>90</v>
      </c>
      <c r="C31" s="21" t="n">
        <v>0.0575</v>
      </c>
      <c r="D31" s="18" t="s">
        <v>91</v>
      </c>
    </row>
    <row r="32" customFormat="false" ht="15.75" hidden="false" customHeight="true" outlineLevel="0" collapsed="false">
      <c r="B32" s="16" t="s">
        <v>92</v>
      </c>
      <c r="C32" s="20" t="n">
        <v>25</v>
      </c>
      <c r="D32" s="18" t="s">
        <v>93</v>
      </c>
    </row>
    <row r="33" customFormat="false" ht="15.75" hidden="false" customHeight="true" outlineLevel="0" collapsed="false">
      <c r="B33" s="16" t="s">
        <v>94</v>
      </c>
      <c r="C33" s="20" t="n">
        <v>10</v>
      </c>
      <c r="D33" s="18" t="s">
        <v>95</v>
      </c>
    </row>
    <row r="34" customFormat="false" ht="15.75" hidden="false" customHeight="true" outlineLevel="0" collapsed="false"/>
    <row r="35" customFormat="false" ht="15.75" hidden="false" customHeight="true" outlineLevel="0" collapsed="false">
      <c r="B35" s="15" t="s">
        <v>96</v>
      </c>
      <c r="C35" s="15"/>
      <c r="D35" s="15"/>
    </row>
    <row r="36" customFormat="false" ht="15.75" hidden="false" customHeight="true" outlineLevel="0" collapsed="false">
      <c r="B36" s="16" t="s">
        <v>97</v>
      </c>
      <c r="C36" s="20" t="n">
        <v>10</v>
      </c>
      <c r="D36" s="18" t="s">
        <v>98</v>
      </c>
    </row>
    <row r="37" customFormat="false" ht="15.75" hidden="false" customHeight="true" outlineLevel="0" collapsed="false">
      <c r="B37" s="16" t="s">
        <v>99</v>
      </c>
      <c r="C37" s="21" t="n">
        <v>0.0675</v>
      </c>
      <c r="D37" s="18" t="s">
        <v>100</v>
      </c>
    </row>
    <row r="38" customFormat="false" ht="15.75" hidden="false" customHeight="true" outlineLevel="0" collapsed="false">
      <c r="B38" s="16" t="s">
        <v>101</v>
      </c>
      <c r="C38" s="21" t="n">
        <v>0.015</v>
      </c>
      <c r="D38" s="18" t="s">
        <v>102</v>
      </c>
    </row>
    <row r="39" customFormat="false" ht="15.75" hidden="false" customHeight="true" outlineLevel="0" collapsed="false">
      <c r="B39" s="16" t="s">
        <v>103</v>
      </c>
      <c r="C39" s="21" t="n">
        <v>0.0725</v>
      </c>
      <c r="D39" s="18" t="s">
        <v>104</v>
      </c>
    </row>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sheetData>
  <mergeCells count="7">
    <mergeCell ref="B2:D2"/>
    <mergeCell ref="B3:D3"/>
    <mergeCell ref="B4:D4"/>
    <mergeCell ref="B10:D10"/>
    <mergeCell ref="B19:D19"/>
    <mergeCell ref="B29:D29"/>
    <mergeCell ref="B35:D3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8"/>
    <col collapsed="false" customWidth="true" hidden="false" outlineLevel="0" max="3" min="3" style="1" width="14"/>
    <col collapsed="false" customWidth="true" hidden="false" outlineLevel="0" max="4" min="4" style="1" width="10"/>
    <col collapsed="false" customWidth="true" hidden="false" outlineLevel="0" max="5" min="5" style="1" width="12"/>
    <col collapsed="false" customWidth="true" hidden="false" outlineLevel="0" max="6" min="6" style="1" width="14"/>
    <col collapsed="false" customWidth="true" hidden="false" outlineLevel="0" max="7" min="7" style="1" width="16"/>
    <col collapsed="false" customWidth="true" hidden="false" outlineLevel="0" max="9" min="8" style="1" width="12"/>
    <col collapsed="false" customWidth="true" hidden="false" outlineLevel="0" max="10" min="10" style="1" width="3"/>
  </cols>
  <sheetData>
    <row r="1" customFormat="false" ht="15.75" hidden="false" customHeight="true" outlineLevel="0" collapsed="false"/>
    <row r="2" customFormat="false" ht="30" hidden="false" customHeight="true" outlineLevel="0" collapsed="false">
      <c r="A2" s="2"/>
      <c r="B2" s="13" t="s">
        <v>105</v>
      </c>
      <c r="C2" s="13"/>
      <c r="D2" s="13"/>
      <c r="E2" s="13"/>
      <c r="F2" s="13"/>
      <c r="G2" s="13"/>
      <c r="H2" s="13"/>
      <c r="I2" s="13"/>
      <c r="J2" s="2"/>
    </row>
    <row r="3" customFormat="false" ht="15.75" hidden="false" customHeight="true" outlineLevel="0" collapsed="false">
      <c r="B3" s="14" t="s">
        <v>106</v>
      </c>
      <c r="C3" s="14"/>
      <c r="D3" s="14"/>
      <c r="E3" s="14"/>
      <c r="F3" s="14"/>
      <c r="G3" s="14"/>
      <c r="H3" s="14"/>
      <c r="I3" s="14"/>
    </row>
    <row r="4" customFormat="false" ht="15.75" hidden="false" customHeight="true" outlineLevel="0" collapsed="false"/>
    <row r="5" customFormat="false" ht="15.75" hidden="false" customHeight="true" outlineLevel="0" collapsed="false">
      <c r="B5" s="23" t="s">
        <v>107</v>
      </c>
      <c r="C5" s="23" t="s">
        <v>108</v>
      </c>
      <c r="D5" s="23" t="s">
        <v>109</v>
      </c>
      <c r="E5" s="23" t="s">
        <v>110</v>
      </c>
      <c r="F5" s="23" t="s">
        <v>111</v>
      </c>
      <c r="G5" s="23" t="s">
        <v>112</v>
      </c>
      <c r="H5" s="23" t="s">
        <v>113</v>
      </c>
      <c r="I5" s="23" t="s">
        <v>114</v>
      </c>
    </row>
    <row r="6" customFormat="false" ht="15.75" hidden="false" customHeight="true" outlineLevel="0" collapsed="false">
      <c r="B6" s="16" t="s">
        <v>115</v>
      </c>
      <c r="C6" s="16" t="s">
        <v>116</v>
      </c>
      <c r="D6" s="24" t="n">
        <v>46200</v>
      </c>
      <c r="E6" s="25" t="n">
        <v>0.22</v>
      </c>
      <c r="F6" s="26" t="n">
        <v>32</v>
      </c>
      <c r="G6" s="27" t="n">
        <v>1478400</v>
      </c>
      <c r="H6" s="28" t="s">
        <v>117</v>
      </c>
      <c r="I6" s="27" t="n">
        <v>7.8</v>
      </c>
    </row>
    <row r="7" customFormat="false" ht="15.75" hidden="false" customHeight="true" outlineLevel="0" collapsed="false">
      <c r="B7" s="16" t="s">
        <v>118</v>
      </c>
      <c r="C7" s="16" t="s">
        <v>119</v>
      </c>
      <c r="D7" s="24" t="n">
        <v>37800</v>
      </c>
      <c r="E7" s="25" t="n">
        <v>0.18</v>
      </c>
      <c r="F7" s="26" t="n">
        <v>34</v>
      </c>
      <c r="G7" s="27" t="n">
        <v>1285200</v>
      </c>
      <c r="H7" s="28" t="s">
        <v>120</v>
      </c>
      <c r="I7" s="27" t="n">
        <v>6.3</v>
      </c>
    </row>
    <row r="8" customFormat="false" ht="15.75" hidden="false" customHeight="true" outlineLevel="0" collapsed="false">
      <c r="B8" s="16" t="s">
        <v>121</v>
      </c>
      <c r="C8" s="16" t="s">
        <v>122</v>
      </c>
      <c r="D8" s="24" t="n">
        <v>29400</v>
      </c>
      <c r="E8" s="25" t="n">
        <v>0.14</v>
      </c>
      <c r="F8" s="26" t="n">
        <v>33.5</v>
      </c>
      <c r="G8" s="27" t="n">
        <v>984900</v>
      </c>
      <c r="H8" s="28" t="s">
        <v>123</v>
      </c>
      <c r="I8" s="27" t="n">
        <v>5.8</v>
      </c>
    </row>
    <row r="9" customFormat="false" ht="15.75" hidden="false" customHeight="true" outlineLevel="0" collapsed="false">
      <c r="B9" s="16" t="s">
        <v>124</v>
      </c>
      <c r="C9" s="16" t="s">
        <v>125</v>
      </c>
      <c r="D9" s="24" t="n">
        <v>16800</v>
      </c>
      <c r="E9" s="25" t="n">
        <v>0.08</v>
      </c>
      <c r="F9" s="26" t="n">
        <v>31</v>
      </c>
      <c r="G9" s="27" t="n">
        <v>520800</v>
      </c>
      <c r="H9" s="28" t="s">
        <v>126</v>
      </c>
      <c r="I9" s="27" t="n">
        <v>4.3</v>
      </c>
    </row>
    <row r="10" customFormat="false" ht="15.75" hidden="false" customHeight="true" outlineLevel="0" collapsed="false">
      <c r="B10" s="16" t="s">
        <v>127</v>
      </c>
      <c r="C10" s="16" t="s">
        <v>128</v>
      </c>
      <c r="D10" s="24" t="n">
        <v>7350</v>
      </c>
      <c r="E10" s="25" t="n">
        <v>0.035</v>
      </c>
      <c r="F10" s="26" t="n">
        <v>55</v>
      </c>
      <c r="G10" s="27" t="n">
        <v>404250</v>
      </c>
      <c r="H10" s="28" t="s">
        <v>129</v>
      </c>
      <c r="I10" s="27" t="n">
        <v>3.8</v>
      </c>
    </row>
    <row r="11" customFormat="false" ht="15.75" hidden="false" customHeight="true" outlineLevel="0" collapsed="false">
      <c r="B11" s="16" t="s">
        <v>130</v>
      </c>
      <c r="C11" s="16" t="s">
        <v>131</v>
      </c>
      <c r="D11" s="24" t="n">
        <v>36750</v>
      </c>
      <c r="E11" s="25" t="n">
        <v>0.175</v>
      </c>
      <c r="F11" s="26" t="n">
        <v>30.5</v>
      </c>
      <c r="G11" s="27" t="n">
        <v>1120875</v>
      </c>
      <c r="H11" s="28" t="s">
        <v>132</v>
      </c>
      <c r="I11" s="27" t="n">
        <v>5.5</v>
      </c>
    </row>
    <row r="12" customFormat="false" ht="15.75" hidden="false" customHeight="true" outlineLevel="0" collapsed="false">
      <c r="B12" s="29" t="s">
        <v>133</v>
      </c>
      <c r="C12" s="29" t="s">
        <v>134</v>
      </c>
      <c r="D12" s="30" t="n">
        <v>15750</v>
      </c>
      <c r="E12" s="31" t="n">
        <v>0.075</v>
      </c>
      <c r="F12" s="31" t="s">
        <v>135</v>
      </c>
      <c r="G12" s="31" t="s">
        <v>135</v>
      </c>
      <c r="H12" s="31" t="s">
        <v>135</v>
      </c>
      <c r="I12" s="31" t="s">
        <v>135</v>
      </c>
    </row>
    <row r="13" customFormat="false" ht="15.75" hidden="false" customHeight="true" outlineLevel="0" collapsed="false">
      <c r="B13" s="32" t="s">
        <v>136</v>
      </c>
      <c r="C13" s="33" t="n">
        <v>190050</v>
      </c>
      <c r="D13" s="34" t="n">
        <v>1</v>
      </c>
      <c r="E13" s="35"/>
      <c r="F13" s="36" t="n">
        <v>5794425</v>
      </c>
      <c r="G13" s="35"/>
      <c r="H13" s="35"/>
      <c r="I13" s="35"/>
    </row>
    <row r="14" customFormat="false" ht="15.75" hidden="false" customHeight="true" outlineLevel="0" collapsed="false"/>
    <row r="15" customFormat="false" ht="15.75" hidden="false" customHeight="true" outlineLevel="0" collapsed="false">
      <c r="B15" s="15" t="s">
        <v>137</v>
      </c>
      <c r="C15" s="15"/>
      <c r="D15" s="15"/>
      <c r="E15" s="15"/>
      <c r="F15" s="15"/>
      <c r="G15" s="15"/>
      <c r="H15" s="15"/>
      <c r="I15" s="15"/>
    </row>
    <row r="16" customFormat="false" ht="15.75" hidden="false" customHeight="true" outlineLevel="0" collapsed="false">
      <c r="B16" s="23" t="s">
        <v>138</v>
      </c>
      <c r="C16" s="23" t="s">
        <v>110</v>
      </c>
      <c r="D16" s="23" t="s">
        <v>139</v>
      </c>
    </row>
    <row r="17" customFormat="false" ht="15.75" hidden="false" customHeight="true" outlineLevel="0" collapsed="false">
      <c r="B17" s="16" t="s">
        <v>140</v>
      </c>
      <c r="C17" s="24" t="n">
        <v>0.04</v>
      </c>
      <c r="D17" s="37" t="n">
        <v>8400</v>
      </c>
    </row>
    <row r="18" customFormat="false" ht="15.75" hidden="false" customHeight="true" outlineLevel="0" collapsed="false">
      <c r="B18" s="16" t="s">
        <v>141</v>
      </c>
      <c r="C18" s="24" t="n">
        <v>0.08</v>
      </c>
      <c r="D18" s="37" t="n">
        <v>16800</v>
      </c>
    </row>
    <row r="19" customFormat="false" ht="15.75" hidden="false" customHeight="true" outlineLevel="0" collapsed="false">
      <c r="B19" s="16" t="s">
        <v>142</v>
      </c>
      <c r="C19" s="24" t="n">
        <v>0.22</v>
      </c>
      <c r="D19" s="37" t="n">
        <v>46200</v>
      </c>
    </row>
    <row r="20" customFormat="false" ht="15.75" hidden="false" customHeight="true" outlineLevel="0" collapsed="false">
      <c r="B20" s="16" t="s">
        <v>143</v>
      </c>
      <c r="C20" s="24" t="n">
        <v>0.41</v>
      </c>
      <c r="D20" s="37" t="n">
        <v>86100</v>
      </c>
    </row>
    <row r="21" customFormat="false" ht="15.75" hidden="false" customHeight="true" outlineLevel="0" collapsed="false">
      <c r="B21" s="16" t="s">
        <v>144</v>
      </c>
      <c r="C21" s="24" t="n">
        <v>0.17</v>
      </c>
      <c r="D21" s="37" t="n">
        <v>35700</v>
      </c>
    </row>
    <row r="22" customFormat="false" ht="15.75" hidden="false" customHeight="true" outlineLevel="0" collapsed="false">
      <c r="B22" s="38" t="s">
        <v>145</v>
      </c>
      <c r="C22" s="39" t="n">
        <v>0.075</v>
      </c>
      <c r="D22" s="40" t="n">
        <v>15750</v>
      </c>
    </row>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sheetData>
  <mergeCells count="3">
    <mergeCell ref="B2:I2"/>
    <mergeCell ref="B3:I3"/>
    <mergeCell ref="B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4"/>
    <col collapsed="false" customWidth="true" hidden="false" outlineLevel="0" max="3" min="3" style="1" width="18"/>
    <col collapsed="false" customWidth="true" hidden="false" outlineLevel="0" max="4" min="4" style="1" width="14"/>
    <col collapsed="false" customWidth="true" hidden="false" outlineLevel="0" max="5" min="5" style="1" width="24"/>
    <col collapsed="false" customWidth="true" hidden="false" outlineLevel="0" max="6" min="6" style="1" width="3"/>
  </cols>
  <sheetData>
    <row r="1" customFormat="false" ht="15.75" hidden="false" customHeight="true" outlineLevel="0" collapsed="false"/>
    <row r="2" customFormat="false" ht="30" hidden="false" customHeight="true" outlineLevel="0" collapsed="false">
      <c r="A2" s="2"/>
      <c r="B2" s="13" t="s">
        <v>146</v>
      </c>
      <c r="C2" s="13"/>
      <c r="D2" s="13"/>
      <c r="E2" s="13"/>
      <c r="F2" s="2"/>
    </row>
    <row r="3" customFormat="false" ht="15.75" hidden="false" customHeight="true" outlineLevel="0" collapsed="false">
      <c r="B3" s="14" t="s">
        <v>147</v>
      </c>
      <c r="C3" s="14"/>
      <c r="D3" s="14"/>
      <c r="E3" s="14"/>
    </row>
    <row r="4" customFormat="false" ht="15.75" hidden="false" customHeight="true" outlineLevel="0" collapsed="false"/>
    <row r="5" customFormat="false" ht="15.75" hidden="false" customHeight="true" outlineLevel="0" collapsed="false">
      <c r="B5" s="23" t="s">
        <v>148</v>
      </c>
      <c r="C5" s="23" t="s">
        <v>149</v>
      </c>
      <c r="D5" s="23" t="s">
        <v>150</v>
      </c>
      <c r="E5" s="23" t="s">
        <v>151</v>
      </c>
    </row>
    <row r="6" customFormat="false" ht="15.75" hidden="false" customHeight="true" outlineLevel="0" collapsed="false">
      <c r="B6" s="15" t="s">
        <v>55</v>
      </c>
      <c r="C6" s="15"/>
      <c r="D6" s="15"/>
      <c r="E6" s="15"/>
    </row>
    <row r="7" customFormat="false" ht="15.75" hidden="false" customHeight="true" outlineLevel="0" collapsed="false">
      <c r="B7" s="16" t="s">
        <v>152</v>
      </c>
      <c r="C7" s="17" t="n">
        <v>6510000</v>
      </c>
      <c r="D7" s="25" t="n">
        <f aca="false">C7/Assumptions!C6</f>
        <v>31</v>
      </c>
      <c r="E7" s="18" t="s">
        <v>153</v>
      </c>
    </row>
    <row r="8" customFormat="false" ht="15.75" hidden="false" customHeight="true" outlineLevel="0" collapsed="false">
      <c r="B8" s="16" t="s">
        <v>154</v>
      </c>
      <c r="C8" s="41" t="n">
        <v>-220725</v>
      </c>
      <c r="D8" s="42" t="n">
        <f aca="false">C8/Assumptions!C6</f>
        <v>-1.05107142857143</v>
      </c>
      <c r="E8" s="18" t="s">
        <v>155</v>
      </c>
    </row>
    <row r="9" customFormat="false" ht="15.75" hidden="false" customHeight="true" outlineLevel="0" collapsed="false">
      <c r="B9" s="16" t="s">
        <v>156</v>
      </c>
      <c r="C9" s="17" t="n">
        <v>315000</v>
      </c>
      <c r="D9" s="25" t="n">
        <f aca="false">C9/Assumptions!C6</f>
        <v>1.5</v>
      </c>
      <c r="E9" s="18" t="s">
        <v>157</v>
      </c>
    </row>
    <row r="10" customFormat="false" ht="15.75" hidden="false" customHeight="true" outlineLevel="0" collapsed="false">
      <c r="B10" s="32" t="s">
        <v>158</v>
      </c>
      <c r="C10" s="36" t="n">
        <f aca="false">C7+C8+C9</f>
        <v>6604275</v>
      </c>
      <c r="D10" s="43" t="n">
        <f aca="false">C10/Assumptions!C6</f>
        <v>31.4489285714286</v>
      </c>
    </row>
    <row r="11" customFormat="false" ht="7.5" hidden="false" customHeight="true" outlineLevel="0" collapsed="false"/>
    <row r="12" customFormat="false" ht="15.75" hidden="false" customHeight="true" outlineLevel="0" collapsed="false">
      <c r="B12" s="15" t="s">
        <v>70</v>
      </c>
      <c r="C12" s="15"/>
      <c r="D12" s="15"/>
      <c r="E12" s="15"/>
    </row>
    <row r="13" customFormat="false" ht="15.75" hidden="false" customHeight="true" outlineLevel="0" collapsed="false">
      <c r="B13" s="16" t="s">
        <v>159</v>
      </c>
      <c r="C13" s="41" t="n">
        <v>-630000</v>
      </c>
      <c r="D13" s="42" t="n">
        <f aca="false">C13/Assumptions!C6</f>
        <v>-3</v>
      </c>
      <c r="E13" s="18" t="s">
        <v>160</v>
      </c>
    </row>
    <row r="14" customFormat="false" ht="15.75" hidden="false" customHeight="true" outlineLevel="0" collapsed="false">
      <c r="B14" s="16" t="s">
        <v>161</v>
      </c>
      <c r="C14" s="41" t="n">
        <v>-105000</v>
      </c>
      <c r="D14" s="42" t="n">
        <f aca="false">C14/Assumptions!C6</f>
        <v>-0.5</v>
      </c>
      <c r="E14" s="18" t="s">
        <v>162</v>
      </c>
    </row>
    <row r="15" customFormat="false" ht="15.75" hidden="false" customHeight="true" outlineLevel="0" collapsed="false">
      <c r="B15" s="16" t="s">
        <v>163</v>
      </c>
      <c r="C15" s="44" t="n">
        <f aca="false">-Assumptions!C20*C10</f>
        <v>-19812825</v>
      </c>
      <c r="D15" s="42" t="n">
        <f aca="false">C15/Assumptions!C6</f>
        <v>-94.3467857142857</v>
      </c>
      <c r="E15" s="18" t="s">
        <v>164</v>
      </c>
    </row>
    <row r="16" customFormat="false" ht="15.75" hidden="false" customHeight="true" outlineLevel="0" collapsed="false">
      <c r="B16" s="16" t="s">
        <v>165</v>
      </c>
      <c r="C16" s="41" t="n">
        <v>-252000</v>
      </c>
      <c r="D16" s="42" t="n">
        <f aca="false">C16/Assumptions!C6</f>
        <v>-1.2</v>
      </c>
      <c r="E16" s="18" t="s">
        <v>166</v>
      </c>
    </row>
    <row r="17" customFormat="false" ht="15.75" hidden="false" customHeight="true" outlineLevel="0" collapsed="false">
      <c r="B17" s="16" t="s">
        <v>167</v>
      </c>
      <c r="C17" s="41" t="n">
        <v>-378000</v>
      </c>
      <c r="D17" s="42" t="n">
        <f aca="false">C17/Assumptions!C6</f>
        <v>-1.8</v>
      </c>
      <c r="E17" s="18" t="s">
        <v>168</v>
      </c>
    </row>
    <row r="18" customFormat="false" ht="15.75" hidden="false" customHeight="true" outlineLevel="0" collapsed="false">
      <c r="B18" s="16" t="s">
        <v>169</v>
      </c>
      <c r="C18" s="41" t="n">
        <v>-126000</v>
      </c>
      <c r="D18" s="42" t="n">
        <f aca="false">C18/Assumptions!C6</f>
        <v>-0.6</v>
      </c>
      <c r="E18" s="18" t="s">
        <v>170</v>
      </c>
    </row>
    <row r="19" customFormat="false" ht="15.75" hidden="false" customHeight="true" outlineLevel="0" collapsed="false">
      <c r="B19" s="32" t="s">
        <v>171</v>
      </c>
      <c r="C19" s="45" t="n">
        <f aca="false">SUM(C13:C18)</f>
        <v>-21303825</v>
      </c>
      <c r="D19" s="46" t="n">
        <f aca="false">C19/Assumptions!C6</f>
        <v>-101.446785714286</v>
      </c>
    </row>
    <row r="20" customFormat="false" ht="7.5" hidden="false" customHeight="true" outlineLevel="0" collapsed="false"/>
    <row r="21" customFormat="false" ht="18" hidden="false" customHeight="true" outlineLevel="0" collapsed="false">
      <c r="B21" s="47" t="s">
        <v>172</v>
      </c>
      <c r="C21" s="48" t="n">
        <f aca="false">C10+C19</f>
        <v>-14699550</v>
      </c>
      <c r="D21" s="49" t="n">
        <f aca="false">C21/Assumptions!C6</f>
        <v>-69.9978571428571</v>
      </c>
    </row>
    <row r="22" customFormat="false" ht="7.5" hidden="false" customHeight="true" outlineLevel="0" collapsed="false"/>
    <row r="23" customFormat="false" ht="15.75" hidden="false" customHeight="true" outlineLevel="0" collapsed="false">
      <c r="B23" s="16" t="s">
        <v>173</v>
      </c>
      <c r="C23" s="41" t="n">
        <v>-210000</v>
      </c>
      <c r="D23" s="42" t="n">
        <f aca="false">C23/Assumptions!C6</f>
        <v>-1</v>
      </c>
      <c r="E23" s="18" t="s">
        <v>174</v>
      </c>
    </row>
    <row r="24" customFormat="false" ht="15.75" hidden="false" customHeight="true" outlineLevel="0" collapsed="false">
      <c r="B24" s="32" t="s">
        <v>175</v>
      </c>
      <c r="C24" s="36" t="n">
        <f aca="false">C21+C23</f>
        <v>-14909550</v>
      </c>
      <c r="D24" s="43" t="n">
        <f aca="false">C24/Assumptions!C6</f>
        <v>-70.9978571428571</v>
      </c>
    </row>
    <row r="25" customFormat="false" ht="15.75" hidden="false" customHeight="true" outlineLevel="0" collapsed="false"/>
    <row r="26" customFormat="false" ht="15.75" hidden="false" customHeight="true" outlineLevel="0" collapsed="false">
      <c r="B26" s="15" t="s">
        <v>176</v>
      </c>
      <c r="C26" s="15"/>
      <c r="D26" s="15"/>
      <c r="E26" s="15"/>
    </row>
    <row r="27" customFormat="false" ht="15.75" hidden="false" customHeight="true" outlineLevel="0" collapsed="false">
      <c r="B27" s="16" t="s">
        <v>177</v>
      </c>
      <c r="C27" s="26" t="n">
        <f aca="false">C21</f>
        <v>-14699550</v>
      </c>
    </row>
    <row r="28" customFormat="false" ht="15.75" hidden="false" customHeight="true" outlineLevel="0" collapsed="false">
      <c r="B28" s="16" t="s">
        <v>178</v>
      </c>
      <c r="C28" s="25" t="n">
        <f aca="false">C21/Assumptions!C6</f>
        <v>-69.9978571428571</v>
      </c>
    </row>
    <row r="29" customFormat="false" ht="15.75" hidden="false" customHeight="true" outlineLevel="0" collapsed="false">
      <c r="B29" s="16" t="s">
        <v>179</v>
      </c>
      <c r="C29" s="50" t="n">
        <f aca="false">C21/Assumptions!C5</f>
        <v>-0.109209138187221</v>
      </c>
    </row>
    <row r="30" customFormat="false" ht="15.75" hidden="false" customHeight="true" outlineLevel="0" collapsed="false">
      <c r="B30" s="16" t="s">
        <v>180</v>
      </c>
      <c r="C30" s="24" t="n">
        <f aca="false">ABS(C19)/C10</f>
        <v>3.2257628581487</v>
      </c>
    </row>
    <row r="31" customFormat="false" ht="15.75" hidden="false" customHeight="true" outlineLevel="0" collapsed="false">
      <c r="B31" s="16" t="s">
        <v>181</v>
      </c>
      <c r="C31" s="24" t="n">
        <f aca="false">C21/C10</f>
        <v>-2.2257628581487</v>
      </c>
    </row>
    <row r="32" customFormat="false" ht="15.75" hidden="false" customHeight="true" outlineLevel="0" collapsed="false">
      <c r="B32" s="16" t="s">
        <v>182</v>
      </c>
      <c r="C32" s="26" t="n">
        <f aca="false">C21/0.065</f>
        <v>-226146923.076923</v>
      </c>
    </row>
    <row r="33" customFormat="false" ht="15.75" hidden="false" customHeight="true" outlineLevel="0" collapsed="false">
      <c r="B33" s="16" t="s">
        <v>183</v>
      </c>
      <c r="C33" s="44" t="n">
        <f aca="false">Assumptions!C5-(C21/0.065)</f>
        <v>360746923.076923</v>
      </c>
    </row>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sheetData>
  <mergeCells count="5">
    <mergeCell ref="B2:E2"/>
    <mergeCell ref="B3:E3"/>
    <mergeCell ref="B6:E6"/>
    <mergeCell ref="B12:E12"/>
    <mergeCell ref="B26:E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7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34"/>
    <col collapsed="false" customWidth="true" hidden="false" outlineLevel="0" max="13" min="3" style="1" width="11"/>
    <col collapsed="false" customWidth="true" hidden="false" outlineLevel="0" max="14" min="14" style="1" width="3"/>
  </cols>
  <sheetData>
    <row r="1" customFormat="false" ht="15" hidden="false" customHeight="true" outlineLevel="0" collapsed="false"/>
    <row r="2" customFormat="false" ht="30" hidden="false" customHeight="true" outlineLevel="0" collapsed="false">
      <c r="A2" s="2"/>
      <c r="B2" s="13" t="s">
        <v>184</v>
      </c>
      <c r="C2" s="13"/>
      <c r="D2" s="13"/>
      <c r="E2" s="13"/>
      <c r="F2" s="13"/>
      <c r="G2" s="13"/>
      <c r="H2" s="13"/>
      <c r="I2" s="13"/>
      <c r="J2" s="13"/>
      <c r="K2" s="13"/>
      <c r="L2" s="13"/>
      <c r="M2" s="13"/>
      <c r="N2" s="2"/>
    </row>
    <row r="3" customFormat="false" ht="15" hidden="false" customHeight="true" outlineLevel="0" collapsed="false">
      <c r="B3" s="14" t="s">
        <v>185</v>
      </c>
      <c r="C3" s="14"/>
      <c r="D3" s="14"/>
      <c r="E3" s="14"/>
      <c r="F3" s="14"/>
      <c r="G3" s="14"/>
      <c r="H3" s="14"/>
      <c r="I3" s="14"/>
      <c r="J3" s="14"/>
      <c r="K3" s="14"/>
      <c r="L3" s="14"/>
      <c r="M3" s="14"/>
    </row>
    <row r="4" customFormat="false" ht="15" hidden="false" customHeight="true" outlineLevel="0" collapsed="false"/>
    <row r="5" customFormat="false" ht="15" hidden="false" customHeight="true" outlineLevel="0" collapsed="false">
      <c r="B5" s="23" t="s">
        <v>148</v>
      </c>
      <c r="C5" s="23" t="s">
        <v>186</v>
      </c>
      <c r="D5" s="23" t="s">
        <v>187</v>
      </c>
      <c r="E5" s="23" t="s">
        <v>188</v>
      </c>
      <c r="F5" s="23" t="s">
        <v>189</v>
      </c>
      <c r="G5" s="23" t="s">
        <v>190</v>
      </c>
      <c r="H5" s="23" t="s">
        <v>191</v>
      </c>
      <c r="I5" s="23" t="s">
        <v>192</v>
      </c>
      <c r="J5" s="23" t="s">
        <v>193</v>
      </c>
      <c r="K5" s="23" t="s">
        <v>194</v>
      </c>
      <c r="L5" s="23" t="s">
        <v>195</v>
      </c>
      <c r="M5" s="23" t="s">
        <v>196</v>
      </c>
    </row>
    <row r="6" customFormat="false" ht="13.5" hidden="false" customHeight="true" outlineLevel="0" collapsed="false">
      <c r="B6" s="51" t="s">
        <v>197</v>
      </c>
      <c r="C6" s="52" t="n">
        <v>2026</v>
      </c>
      <c r="D6" s="52" t="n">
        <v>2027</v>
      </c>
      <c r="E6" s="52" t="n">
        <v>2028</v>
      </c>
      <c r="F6" s="52" t="n">
        <v>2029</v>
      </c>
      <c r="G6" s="52" t="n">
        <v>2030</v>
      </c>
      <c r="H6" s="52" t="n">
        <v>2031</v>
      </c>
      <c r="I6" s="52" t="n">
        <v>2032</v>
      </c>
      <c r="J6" s="52" t="n">
        <v>2033</v>
      </c>
      <c r="K6" s="52" t="n">
        <v>2034</v>
      </c>
      <c r="L6" s="52" t="n">
        <v>2035</v>
      </c>
    </row>
    <row r="7" customFormat="false" ht="15" hidden="false" customHeight="true" outlineLevel="0" collapsed="false"/>
    <row r="8" customFormat="false" ht="15" hidden="false" customHeight="true" outlineLevel="0" collapsed="false">
      <c r="B8" s="15" t="s">
        <v>55</v>
      </c>
      <c r="C8" s="15"/>
      <c r="D8" s="15"/>
      <c r="E8" s="15"/>
      <c r="F8" s="15"/>
      <c r="G8" s="15"/>
      <c r="H8" s="15"/>
      <c r="I8" s="15"/>
      <c r="J8" s="15"/>
      <c r="K8" s="15"/>
      <c r="L8" s="15"/>
      <c r="M8" s="15"/>
    </row>
    <row r="9" customFormat="false" ht="15" hidden="false" customHeight="true" outlineLevel="0" collapsed="false">
      <c r="B9" s="16" t="s">
        <v>198</v>
      </c>
      <c r="C9" s="53" t="n">
        <f aca="false">Assumptions!C6*Assumptions!C12*Assumptions!C13</f>
        <v>6184500</v>
      </c>
      <c r="D9" s="53" t="n">
        <f aca="false">C9*(1+Assumptions!C14)</f>
        <v>6339112.5</v>
      </c>
      <c r="E9" s="53" t="n">
        <f aca="false">D9*(1+Assumptions!C14)</f>
        <v>6497590.3125</v>
      </c>
      <c r="F9" s="53" t="n">
        <f aca="false">E9*(1+Assumptions!C14)</f>
        <v>6660030.0703125</v>
      </c>
      <c r="G9" s="53" t="n">
        <f aca="false">F9*(1+Assumptions!C14)</f>
        <v>6826530.82207031</v>
      </c>
      <c r="H9" s="53" t="n">
        <f aca="false">G9*(1+Assumptions!C15)</f>
        <v>6963061.43851172</v>
      </c>
      <c r="I9" s="53" t="n">
        <f aca="false">H9*(1+Assumptions!C15)</f>
        <v>7102322.66728195</v>
      </c>
      <c r="J9" s="53" t="n">
        <f aca="false">I9*(1+Assumptions!C15)</f>
        <v>7244369.12062759</v>
      </c>
      <c r="K9" s="53" t="n">
        <f aca="false">J9*(1+Assumptions!C15)</f>
        <v>7389256.50304014</v>
      </c>
      <c r="L9" s="53" t="n">
        <f aca="false">K9*(1+Assumptions!C15)</f>
        <v>7537041.63310094</v>
      </c>
    </row>
    <row r="10" customFormat="false" ht="15" hidden="false" customHeight="true" outlineLevel="0" collapsed="false">
      <c r="B10" s="16" t="s">
        <v>154</v>
      </c>
      <c r="C10" s="54" t="n">
        <f aca="false">-(1-Assumptions!C12)*C9</f>
        <v>-309225</v>
      </c>
      <c r="D10" s="54" t="n">
        <f aca="false">-(1-Assumptions!C12)*D9</f>
        <v>-316955.625</v>
      </c>
      <c r="E10" s="54" t="n">
        <f aca="false">-(1-Assumptions!C12)*E9</f>
        <v>-324879.515625</v>
      </c>
      <c r="F10" s="54" t="n">
        <f aca="false">-(1-Assumptions!C12)*F9</f>
        <v>-333001.503515625</v>
      </c>
      <c r="G10" s="54" t="n">
        <f aca="false">-(1-Assumptions!C12)*G9</f>
        <v>-341326.541103516</v>
      </c>
      <c r="H10" s="54" t="n">
        <f aca="false">-(1-Assumptions!C12)*H9</f>
        <v>-348153.071925586</v>
      </c>
      <c r="I10" s="54" t="n">
        <f aca="false">-(1-Assumptions!C12)*I9</f>
        <v>-355116.133364098</v>
      </c>
      <c r="J10" s="54" t="n">
        <f aca="false">-(1-Assumptions!C12)*J9</f>
        <v>-362218.45603138</v>
      </c>
      <c r="K10" s="54" t="n">
        <f aca="false">-(1-Assumptions!C12)*K9</f>
        <v>-369462.825152007</v>
      </c>
      <c r="L10" s="54" t="n">
        <f aca="false">-(1-Assumptions!C12)*L9</f>
        <v>-376852.081655048</v>
      </c>
    </row>
    <row r="11" customFormat="false" ht="15" hidden="false" customHeight="true" outlineLevel="0" collapsed="false">
      <c r="B11" s="16" t="s">
        <v>199</v>
      </c>
      <c r="C11" s="53" t="n">
        <f aca="false">Assumptions!C16*Assumptions!C6</f>
        <v>315000</v>
      </c>
      <c r="D11" s="53" t="n">
        <f aca="false">C11*(1+Assumptions!C17)</f>
        <v>321300</v>
      </c>
      <c r="E11" s="53" t="n">
        <f aca="false">D11*(1+Assumptions!C17)</f>
        <v>327726</v>
      </c>
      <c r="F11" s="53" t="n">
        <f aca="false">E11*(1+Assumptions!C17)</f>
        <v>334280.52</v>
      </c>
      <c r="G11" s="53" t="n">
        <f aca="false">F11*(1+Assumptions!C17)</f>
        <v>340966.1304</v>
      </c>
      <c r="H11" s="53" t="n">
        <f aca="false">G11*(1+Assumptions!C17)</f>
        <v>347785.453008</v>
      </c>
      <c r="I11" s="53" t="n">
        <f aca="false">H11*(1+Assumptions!C17)</f>
        <v>354741.16206816</v>
      </c>
      <c r="J11" s="53" t="n">
        <f aca="false">I11*(1+Assumptions!C17)</f>
        <v>361835.985309523</v>
      </c>
      <c r="K11" s="53" t="n">
        <f aca="false">J11*(1+Assumptions!C17)</f>
        <v>369072.705015714</v>
      </c>
      <c r="L11" s="53" t="n">
        <f aca="false">K11*(1+Assumptions!C17)</f>
        <v>376454.159116028</v>
      </c>
    </row>
    <row r="12" customFormat="false" ht="15" hidden="false" customHeight="true" outlineLevel="0" collapsed="false">
      <c r="B12" s="32" t="s">
        <v>158</v>
      </c>
      <c r="C12" s="55" t="n">
        <f aca="false">C9+C10+C11</f>
        <v>6190275</v>
      </c>
      <c r="D12" s="55" t="n">
        <f aca="false">D9+D10+D11</f>
        <v>6343456.875</v>
      </c>
      <c r="E12" s="55" t="n">
        <f aca="false">E9+E10+E11</f>
        <v>6500436.796875</v>
      </c>
      <c r="F12" s="55" t="n">
        <f aca="false">F9+F10+F11</f>
        <v>6661309.08679687</v>
      </c>
      <c r="G12" s="55" t="n">
        <f aca="false">G9+G10+G11</f>
        <v>6826170.41136679</v>
      </c>
      <c r="H12" s="55" t="n">
        <f aca="false">H9+H10+H11</f>
        <v>6962693.81959413</v>
      </c>
      <c r="I12" s="55" t="n">
        <f aca="false">I9+I10+I11</f>
        <v>7101947.69598601</v>
      </c>
      <c r="J12" s="55" t="n">
        <f aca="false">J9+J10+J11</f>
        <v>7243986.64990573</v>
      </c>
      <c r="K12" s="55" t="n">
        <f aca="false">K9+K10+K11</f>
        <v>7388866.38290385</v>
      </c>
      <c r="L12" s="55" t="n">
        <f aca="false">L9+L10+L11</f>
        <v>7536643.71056192</v>
      </c>
    </row>
    <row r="13" customFormat="false" ht="15" hidden="false" customHeight="true" outlineLevel="0" collapsed="false"/>
    <row r="14" customFormat="false" ht="15" hidden="false" customHeight="true" outlineLevel="0" collapsed="false">
      <c r="B14" s="15" t="s">
        <v>70</v>
      </c>
      <c r="C14" s="15"/>
      <c r="D14" s="15"/>
      <c r="E14" s="15"/>
      <c r="F14" s="15"/>
      <c r="G14" s="15"/>
      <c r="H14" s="15"/>
      <c r="I14" s="15"/>
      <c r="J14" s="15"/>
      <c r="K14" s="15"/>
      <c r="L14" s="15"/>
      <c r="M14" s="15"/>
    </row>
    <row r="15" customFormat="false" ht="15" hidden="false" customHeight="true" outlineLevel="0" collapsed="false">
      <c r="B15" s="16" t="s">
        <v>159</v>
      </c>
      <c r="C15" s="54" t="n">
        <f aca="false">-Assumptions!C20*Assumptions!C6</f>
        <v>-630000</v>
      </c>
      <c r="D15" s="54" t="n">
        <f aca="false">C15*(1+Assumptions!C26)</f>
        <v>-642600</v>
      </c>
      <c r="E15" s="54" t="n">
        <f aca="false">D15*(1+Assumptions!C26)</f>
        <v>-655452</v>
      </c>
      <c r="F15" s="54" t="n">
        <f aca="false">E15*(1+Assumptions!C26)</f>
        <v>-668561.04</v>
      </c>
      <c r="G15" s="54" t="n">
        <f aca="false">F15*(1+Assumptions!C26)</f>
        <v>-681932.2608</v>
      </c>
      <c r="H15" s="54" t="n">
        <f aca="false">G15*(1+Assumptions!C26)</f>
        <v>-695570.906016</v>
      </c>
      <c r="I15" s="54" t="n">
        <f aca="false">H15*(1+Assumptions!C26)</f>
        <v>-709482.32413632</v>
      </c>
      <c r="J15" s="54" t="n">
        <f aca="false">I15*(1+Assumptions!C26)</f>
        <v>-723671.970619047</v>
      </c>
      <c r="K15" s="54" t="n">
        <f aca="false">J15*(1+Assumptions!C26)</f>
        <v>-738145.410031428</v>
      </c>
      <c r="L15" s="54" t="n">
        <f aca="false">K15*(1+Assumptions!C26)</f>
        <v>-752908.318232056</v>
      </c>
    </row>
    <row r="16" customFormat="false" ht="15" hidden="false" customHeight="true" outlineLevel="0" collapsed="false">
      <c r="B16" s="16" t="s">
        <v>161</v>
      </c>
      <c r="C16" s="54" t="n">
        <f aca="false">-Assumptions!C21*Assumptions!C6</f>
        <v>-105000</v>
      </c>
      <c r="D16" s="54" t="n">
        <f aca="false">C16*(1+Assumptions!C26)</f>
        <v>-107100</v>
      </c>
      <c r="E16" s="54" t="n">
        <f aca="false">D16*(1+Assumptions!C26)</f>
        <v>-109242</v>
      </c>
      <c r="F16" s="54" t="n">
        <f aca="false">E16*(1+Assumptions!C26)</f>
        <v>-111426.84</v>
      </c>
      <c r="G16" s="54" t="n">
        <f aca="false">F16*(1+Assumptions!C26)</f>
        <v>-113655.3768</v>
      </c>
      <c r="H16" s="54" t="n">
        <f aca="false">G16*(1+Assumptions!C26)</f>
        <v>-115928.484336</v>
      </c>
      <c r="I16" s="54" t="n">
        <f aca="false">H16*(1+Assumptions!C26)</f>
        <v>-118247.05402272</v>
      </c>
      <c r="J16" s="54" t="n">
        <f aca="false">I16*(1+Assumptions!C26)</f>
        <v>-120611.995103174</v>
      </c>
      <c r="K16" s="54" t="n">
        <f aca="false">J16*(1+Assumptions!C26)</f>
        <v>-123024.235005238</v>
      </c>
      <c r="L16" s="54" t="n">
        <f aca="false">K16*(1+Assumptions!C26)</f>
        <v>-125484.719705343</v>
      </c>
    </row>
    <row r="17" customFormat="false" ht="15" hidden="false" customHeight="true" outlineLevel="0" collapsed="false">
      <c r="B17" s="16" t="s">
        <v>200</v>
      </c>
      <c r="C17" s="54" t="n">
        <f aca="false">-Assumptions!C22*C12</f>
        <v>-247611</v>
      </c>
      <c r="D17" s="54" t="n">
        <f aca="false">-Assumptions!C22*D12</f>
        <v>-253738.275</v>
      </c>
      <c r="E17" s="54" t="n">
        <f aca="false">-Assumptions!C22*E12</f>
        <v>-260017.471875</v>
      </c>
      <c r="F17" s="54" t="n">
        <f aca="false">-Assumptions!C22*F12</f>
        <v>-266452.363471875</v>
      </c>
      <c r="G17" s="54" t="n">
        <f aca="false">-Assumptions!C22*G12</f>
        <v>-273046.816454672</v>
      </c>
      <c r="H17" s="54" t="n">
        <f aca="false">-Assumptions!C22*H12</f>
        <v>-278507.752783765</v>
      </c>
      <c r="I17" s="54" t="n">
        <f aca="false">-Assumptions!C22*I12</f>
        <v>-284077.907839441</v>
      </c>
      <c r="J17" s="54" t="n">
        <f aca="false">-Assumptions!C22*J12</f>
        <v>-289759.465996229</v>
      </c>
      <c r="K17" s="54" t="n">
        <f aca="false">-Assumptions!C22*K12</f>
        <v>-295554.655316154</v>
      </c>
      <c r="L17" s="54" t="n">
        <f aca="false">-Assumptions!C22*L12</f>
        <v>-301465.748422477</v>
      </c>
    </row>
    <row r="18" customFormat="false" ht="15" hidden="false" customHeight="true" outlineLevel="0" collapsed="false">
      <c r="B18" s="16" t="s">
        <v>165</v>
      </c>
      <c r="C18" s="54" t="n">
        <f aca="false">-Assumptions!C23*Assumptions!C6</f>
        <v>-252000</v>
      </c>
      <c r="D18" s="54" t="n">
        <f aca="false">C18*(1+Assumptions!C26)</f>
        <v>-257040</v>
      </c>
      <c r="E18" s="54" t="n">
        <f aca="false">D18*(1+Assumptions!C26)</f>
        <v>-262180.8</v>
      </c>
      <c r="F18" s="54" t="n">
        <f aca="false">E18*(1+Assumptions!C26)</f>
        <v>-267424.416</v>
      </c>
      <c r="G18" s="54" t="n">
        <f aca="false">F18*(1+Assumptions!C26)</f>
        <v>-272772.90432</v>
      </c>
      <c r="H18" s="54" t="n">
        <f aca="false">G18*(1+Assumptions!C26)</f>
        <v>-278228.3624064</v>
      </c>
      <c r="I18" s="54" t="n">
        <f aca="false">H18*(1+Assumptions!C26)</f>
        <v>-283792.929654528</v>
      </c>
      <c r="J18" s="54" t="n">
        <f aca="false">I18*(1+Assumptions!C26)</f>
        <v>-289468.788247619</v>
      </c>
      <c r="K18" s="54" t="n">
        <f aca="false">J18*(1+Assumptions!C26)</f>
        <v>-295258.164012571</v>
      </c>
      <c r="L18" s="54" t="n">
        <f aca="false">K18*(1+Assumptions!C26)</f>
        <v>-301163.327292822</v>
      </c>
    </row>
    <row r="19" customFormat="false" ht="15" hidden="false" customHeight="true" outlineLevel="0" collapsed="false">
      <c r="B19" s="16" t="s">
        <v>167</v>
      </c>
      <c r="C19" s="54" t="n">
        <f aca="false">-Assumptions!C24*Assumptions!C6</f>
        <v>-378000</v>
      </c>
      <c r="D19" s="54" t="n">
        <f aca="false">C19*(1+Assumptions!C26)</f>
        <v>-385560</v>
      </c>
      <c r="E19" s="54" t="n">
        <f aca="false">D19*(1+Assumptions!C26)</f>
        <v>-393271.2</v>
      </c>
      <c r="F19" s="54" t="n">
        <f aca="false">E19*(1+Assumptions!C26)</f>
        <v>-401136.624</v>
      </c>
      <c r="G19" s="54" t="n">
        <f aca="false">F19*(1+Assumptions!C26)</f>
        <v>-409159.35648</v>
      </c>
      <c r="H19" s="54" t="n">
        <f aca="false">G19*(1+Assumptions!C26)</f>
        <v>-417342.5436096</v>
      </c>
      <c r="I19" s="54" t="n">
        <f aca="false">H19*(1+Assumptions!C26)</f>
        <v>-425689.394481792</v>
      </c>
      <c r="J19" s="54" t="n">
        <f aca="false">I19*(1+Assumptions!C26)</f>
        <v>-434203.182371428</v>
      </c>
      <c r="K19" s="54" t="n">
        <f aca="false">J19*(1+Assumptions!C26)</f>
        <v>-442887.246018857</v>
      </c>
      <c r="L19" s="54" t="n">
        <f aca="false">K19*(1+Assumptions!C26)</f>
        <v>-451744.990939234</v>
      </c>
    </row>
    <row r="20" customFormat="false" ht="15" hidden="false" customHeight="true" outlineLevel="0" collapsed="false">
      <c r="B20" s="16" t="s">
        <v>169</v>
      </c>
      <c r="C20" s="54" t="n">
        <f aca="false">-Assumptions!C25*Assumptions!C6</f>
        <v>-126000</v>
      </c>
      <c r="D20" s="54" t="n">
        <f aca="false">C20*(1+Assumptions!C26)</f>
        <v>-128520</v>
      </c>
      <c r="E20" s="54" t="n">
        <f aca="false">D20*(1+Assumptions!C26)</f>
        <v>-131090.4</v>
      </c>
      <c r="F20" s="54" t="n">
        <f aca="false">E20*(1+Assumptions!C26)</f>
        <v>-133712.208</v>
      </c>
      <c r="G20" s="54" t="n">
        <f aca="false">F20*(1+Assumptions!C26)</f>
        <v>-136386.45216</v>
      </c>
      <c r="H20" s="54" t="n">
        <f aca="false">G20*(1+Assumptions!C26)</f>
        <v>-139114.1812032</v>
      </c>
      <c r="I20" s="54" t="n">
        <f aca="false">H20*(1+Assumptions!C26)</f>
        <v>-141896.464827264</v>
      </c>
      <c r="J20" s="54" t="n">
        <f aca="false">I20*(1+Assumptions!C26)</f>
        <v>-144734.394123809</v>
      </c>
      <c r="K20" s="54" t="n">
        <f aca="false">J20*(1+Assumptions!C26)</f>
        <v>-147629.082006285</v>
      </c>
      <c r="L20" s="54" t="n">
        <f aca="false">K20*(1+Assumptions!C26)</f>
        <v>-150581.663646411</v>
      </c>
    </row>
    <row r="21" customFormat="false" ht="15" hidden="false" customHeight="true" outlineLevel="0" collapsed="false">
      <c r="B21" s="16" t="s">
        <v>201</v>
      </c>
      <c r="C21" s="54" t="n">
        <f aca="false">-Assumptions!C27*Assumptions!C6</f>
        <v>-210000</v>
      </c>
      <c r="D21" s="54" t="n">
        <f aca="false">C21*(1+Assumptions!C26)</f>
        <v>-214200</v>
      </c>
      <c r="E21" s="54" t="n">
        <f aca="false">D21*(1+Assumptions!C26)</f>
        <v>-218484</v>
      </c>
      <c r="F21" s="54" t="n">
        <f aca="false">E21*(1+Assumptions!C26)</f>
        <v>-222853.68</v>
      </c>
      <c r="G21" s="54" t="n">
        <f aca="false">F21*(1+Assumptions!C26)</f>
        <v>-227310.7536</v>
      </c>
      <c r="H21" s="54" t="n">
        <f aca="false">G21*(1+Assumptions!C26)</f>
        <v>-231856.968672</v>
      </c>
      <c r="I21" s="54" t="n">
        <f aca="false">H21*(1+Assumptions!C26)</f>
        <v>-236494.10804544</v>
      </c>
      <c r="J21" s="54" t="n">
        <f aca="false">I21*(1+Assumptions!C26)</f>
        <v>-241223.990206349</v>
      </c>
      <c r="K21" s="54" t="n">
        <f aca="false">J21*(1+Assumptions!C26)</f>
        <v>-246048.470010476</v>
      </c>
      <c r="L21" s="54" t="n">
        <f aca="false">K21*(1+Assumptions!C26)</f>
        <v>-250969.439410685</v>
      </c>
    </row>
    <row r="22" customFormat="false" ht="15" hidden="false" customHeight="true" outlineLevel="0" collapsed="false">
      <c r="B22" s="32" t="s">
        <v>171</v>
      </c>
      <c r="C22" s="56" t="n">
        <f aca="false">SUM(C15:C21)</f>
        <v>-1948611</v>
      </c>
      <c r="D22" s="56" t="n">
        <f aca="false">SUM(D15:D21)</f>
        <v>-1988758.275</v>
      </c>
      <c r="E22" s="56" t="n">
        <f aca="false">SUM(E15:E21)</f>
        <v>-2029737.871875</v>
      </c>
      <c r="F22" s="56" t="n">
        <f aca="false">SUM(F15:F21)</f>
        <v>-2071567.17147188</v>
      </c>
      <c r="G22" s="56" t="n">
        <f aca="false">SUM(G15:G21)</f>
        <v>-2114263.92061467</v>
      </c>
      <c r="H22" s="56" t="n">
        <f aca="false">SUM(H15:H21)</f>
        <v>-2156549.19902697</v>
      </c>
      <c r="I22" s="56" t="n">
        <f aca="false">SUM(I15:I21)</f>
        <v>-2199680.18300751</v>
      </c>
      <c r="J22" s="56" t="n">
        <f aca="false">SUM(J15:J21)</f>
        <v>-2243673.78666765</v>
      </c>
      <c r="K22" s="56" t="n">
        <f aca="false">SUM(K15:K21)</f>
        <v>-2288547.26240101</v>
      </c>
      <c r="L22" s="56" t="n">
        <f aca="false">SUM(L15:L21)</f>
        <v>-2334318.20764903</v>
      </c>
    </row>
    <row r="23" customFormat="false" ht="15" hidden="false" customHeight="true" outlineLevel="0" collapsed="false"/>
    <row r="24" customFormat="false" ht="18" hidden="false" customHeight="true" outlineLevel="0" collapsed="false">
      <c r="B24" s="47" t="s">
        <v>172</v>
      </c>
      <c r="C24" s="57" t="n">
        <f aca="false">C12+C22</f>
        <v>4241664</v>
      </c>
      <c r="D24" s="57" t="n">
        <f aca="false">D12+D22</f>
        <v>4354698.6</v>
      </c>
      <c r="E24" s="57" t="n">
        <f aca="false">E12+E22</f>
        <v>4470698.925</v>
      </c>
      <c r="F24" s="57" t="n">
        <f aca="false">F12+F22</f>
        <v>4589741.915325</v>
      </c>
      <c r="G24" s="57" t="n">
        <f aca="false">G12+G22</f>
        <v>4711906.49075212</v>
      </c>
      <c r="H24" s="57" t="n">
        <f aca="false">H12+H22</f>
        <v>4806144.62056716</v>
      </c>
      <c r="I24" s="57" t="n">
        <f aca="false">I12+I22</f>
        <v>4902267.51297851</v>
      </c>
      <c r="J24" s="57" t="n">
        <f aca="false">J12+J22</f>
        <v>5000312.86323808</v>
      </c>
      <c r="K24" s="57" t="n">
        <f aca="false">K12+K22</f>
        <v>5100319.12050284</v>
      </c>
      <c r="L24" s="57" t="n">
        <f aca="false">L12+L22</f>
        <v>5202325.5029129</v>
      </c>
    </row>
    <row r="25" customFormat="false" ht="15" hidden="false" customHeight="true" outlineLevel="0" collapsed="false"/>
    <row r="26" customFormat="false" ht="15" hidden="false" customHeight="true" outlineLevel="0" collapsed="false">
      <c r="B26" s="15" t="s">
        <v>202</v>
      </c>
      <c r="C26" s="15"/>
      <c r="D26" s="15"/>
      <c r="E26" s="15"/>
      <c r="F26" s="15"/>
      <c r="G26" s="15"/>
      <c r="H26" s="15"/>
      <c r="I26" s="15"/>
      <c r="J26" s="15"/>
      <c r="K26" s="15"/>
      <c r="L26" s="15"/>
      <c r="M26" s="15"/>
    </row>
    <row r="27" customFormat="false" ht="15" hidden="false" customHeight="true" outlineLevel="0" collapsed="false">
      <c r="B27" s="16" t="s">
        <v>203</v>
      </c>
      <c r="C27" s="53" t="n">
        <f aca="false">Assumptions!C5*Assumptions!C30</f>
        <v>80760000</v>
      </c>
      <c r="D27" s="53"/>
      <c r="E27" s="53"/>
      <c r="F27" s="53"/>
      <c r="G27" s="53"/>
      <c r="H27" s="53"/>
      <c r="I27" s="53"/>
      <c r="J27" s="53"/>
      <c r="K27" s="53"/>
      <c r="L27" s="53"/>
    </row>
    <row r="28" customFormat="false" ht="15" hidden="false" customHeight="true" outlineLevel="0" collapsed="false">
      <c r="B28" s="16" t="s">
        <v>204</v>
      </c>
      <c r="C28" s="54" t="n">
        <f aca="false">PMT(Assumptions!C31/12,Assumptions!C32*12,-C27)*12</f>
        <v>6096795.96715847</v>
      </c>
      <c r="D28" s="54" t="n">
        <f aca="false">PMT(Assumptions!C31/12,Assumptions!C32*12,-C27)*12</f>
        <v>6096795.96715847</v>
      </c>
      <c r="E28" s="54" t="n">
        <f aca="false">PMT(Assumptions!C31/12,Assumptions!C32*12,-C27)*12</f>
        <v>6096795.96715847</v>
      </c>
      <c r="F28" s="54" t="n">
        <f aca="false">PMT(Assumptions!C31/12,Assumptions!C32*12,-C27)*12</f>
        <v>6096795.96715847</v>
      </c>
      <c r="G28" s="54" t="n">
        <f aca="false">PMT(Assumptions!C31/12,Assumptions!C32*12,-C27)*12</f>
        <v>6096795.96715847</v>
      </c>
      <c r="H28" s="54" t="n">
        <f aca="false">PMT(Assumptions!C31/12,Assumptions!C32*12,-C27)*12</f>
        <v>6096795.96715847</v>
      </c>
      <c r="I28" s="54" t="n">
        <f aca="false">PMT(Assumptions!C31/12,Assumptions!C32*12,-C27)*12</f>
        <v>6096795.96715847</v>
      </c>
      <c r="J28" s="54" t="n">
        <f aca="false">PMT(Assumptions!C31/12,Assumptions!C32*12,-C27)*12</f>
        <v>6096795.96715847</v>
      </c>
      <c r="K28" s="54" t="n">
        <f aca="false">PMT(Assumptions!C31/12,Assumptions!C32*12,-C27)*12</f>
        <v>6096795.96715847</v>
      </c>
      <c r="L28" s="54" t="n">
        <f aca="false">PMT(Assumptions!C31/12,Assumptions!C32*12,-C27)*12</f>
        <v>6096795.96715847</v>
      </c>
    </row>
    <row r="29" customFormat="false" ht="15" hidden="false" customHeight="true" outlineLevel="0" collapsed="false">
      <c r="B29" s="58" t="s">
        <v>205</v>
      </c>
      <c r="C29" s="59" t="n">
        <f aca="false">C24+C28</f>
        <v>10338459.9671585</v>
      </c>
      <c r="D29" s="59" t="n">
        <f aca="false">D24+D28</f>
        <v>10451494.5671585</v>
      </c>
      <c r="E29" s="59" t="n">
        <f aca="false">E24+E28</f>
        <v>10567494.8921585</v>
      </c>
      <c r="F29" s="59" t="n">
        <f aca="false">F24+F28</f>
        <v>10686537.8824835</v>
      </c>
      <c r="G29" s="59" t="n">
        <f aca="false">G24+G28</f>
        <v>10808702.4579106</v>
      </c>
      <c r="H29" s="59" t="n">
        <f aca="false">H24+H28</f>
        <v>10902940.5877256</v>
      </c>
      <c r="I29" s="59" t="n">
        <f aca="false">I24+I28</f>
        <v>10999063.480137</v>
      </c>
      <c r="J29" s="59" t="n">
        <f aca="false">J24+J28</f>
        <v>11097108.8303965</v>
      </c>
      <c r="K29" s="59" t="n">
        <f aca="false">K24+K28</f>
        <v>11197115.0876613</v>
      </c>
      <c r="L29" s="59" t="n">
        <f aca="false">L24+L28</f>
        <v>11299121.4700714</v>
      </c>
    </row>
    <row r="30" customFormat="false" ht="15" hidden="false" customHeight="true" outlineLevel="0" collapsed="false"/>
    <row r="31" customFormat="false" ht="15" hidden="false" customHeight="true" outlineLevel="0" collapsed="false">
      <c r="B31" s="15" t="s">
        <v>206</v>
      </c>
      <c r="C31" s="15"/>
      <c r="D31" s="15"/>
      <c r="E31" s="15"/>
      <c r="F31" s="15"/>
      <c r="G31" s="15"/>
      <c r="H31" s="15"/>
      <c r="I31" s="15"/>
      <c r="J31" s="15"/>
      <c r="K31" s="15"/>
      <c r="L31" s="15"/>
      <c r="M31" s="15"/>
    </row>
    <row r="32" customFormat="false" ht="15" hidden="false" customHeight="true" outlineLevel="0" collapsed="false">
      <c r="B32" s="16" t="s">
        <v>207</v>
      </c>
      <c r="M32" s="53" t="n">
        <f aca="false">L24*(1+Assumptions!C15)</f>
        <v>5306372.01297115</v>
      </c>
    </row>
    <row r="33" customFormat="false" ht="15" hidden="false" customHeight="true" outlineLevel="0" collapsed="false">
      <c r="B33" s="16" t="s">
        <v>208</v>
      </c>
      <c r="M33" s="53" t="n">
        <f aca="false">M32/Assumptions!C37</f>
        <v>78612918.7106838</v>
      </c>
    </row>
    <row r="34" customFormat="false" ht="15" hidden="false" customHeight="true" outlineLevel="0" collapsed="false">
      <c r="B34" s="16" t="s">
        <v>209</v>
      </c>
      <c r="M34" s="54" t="n">
        <f aca="false">-Assumptions!C38*M33</f>
        <v>-1179193.78066026</v>
      </c>
    </row>
    <row r="35" customFormat="false" ht="15" hidden="false" customHeight="true" outlineLevel="0" collapsed="false">
      <c r="B35" s="16" t="s">
        <v>210</v>
      </c>
      <c r="M35" s="54" t="n">
        <f aca="false">-PV(Assumptions!C31/12,(Assumptions!C32-Assumptions!C33)*12,PMT(Assumptions!C31/12,Assumptions!C32*12,-C27))</f>
        <v>61182581.7795626</v>
      </c>
    </row>
    <row r="36" customFormat="false" ht="15" hidden="false" customHeight="true" outlineLevel="0" collapsed="false">
      <c r="B36" s="47" t="s">
        <v>211</v>
      </c>
      <c r="M36" s="57" t="n">
        <f aca="false">M33+M34+M35</f>
        <v>138616306.709586</v>
      </c>
    </row>
    <row r="37" customFormat="false" ht="15" hidden="false" customHeight="true" outlineLevel="0" collapsed="false"/>
    <row r="38" customFormat="false" ht="15" hidden="false" customHeight="true" outlineLevel="0" collapsed="false">
      <c r="B38" s="15" t="s">
        <v>212</v>
      </c>
      <c r="C38" s="15"/>
      <c r="D38" s="15"/>
      <c r="E38" s="15"/>
      <c r="F38" s="15"/>
      <c r="G38" s="15"/>
      <c r="H38" s="15"/>
      <c r="I38" s="15"/>
      <c r="J38" s="15"/>
      <c r="K38" s="15"/>
      <c r="L38" s="15"/>
      <c r="M38" s="15"/>
    </row>
    <row r="39" customFormat="false" ht="15" hidden="false" customHeight="true" outlineLevel="0" collapsed="false">
      <c r="B39" s="16" t="s">
        <v>213</v>
      </c>
      <c r="C39" s="53" t="n">
        <f aca="false">Assumptions!C5-C27</f>
        <v>53840000</v>
      </c>
      <c r="D39" s="53"/>
      <c r="E39" s="53"/>
      <c r="F39" s="53"/>
      <c r="G39" s="53"/>
      <c r="H39" s="53"/>
      <c r="I39" s="53"/>
      <c r="J39" s="53"/>
      <c r="K39" s="53"/>
      <c r="L39" s="53"/>
    </row>
    <row r="40" customFormat="false" ht="15" hidden="false" customHeight="true" outlineLevel="0" collapsed="false">
      <c r="B40" s="16" t="s">
        <v>214</v>
      </c>
      <c r="C40" s="60" t="n">
        <f aca="false">IRR(C55:M55)</f>
        <v>-0.00895090787146753</v>
      </c>
      <c r="D40" s="60"/>
      <c r="E40" s="60"/>
      <c r="F40" s="60"/>
      <c r="G40" s="60"/>
      <c r="H40" s="60"/>
      <c r="I40" s="60"/>
      <c r="J40" s="60"/>
      <c r="K40" s="60"/>
      <c r="L40" s="60"/>
    </row>
    <row r="41" customFormat="false" ht="15" hidden="false" customHeight="true" outlineLevel="0" collapsed="false">
      <c r="B41" s="16" t="s">
        <v>215</v>
      </c>
      <c r="C41" s="61" t="n">
        <f aca="false">IRR(C56:M56)</f>
        <v>0.246147060722514</v>
      </c>
      <c r="D41" s="61"/>
      <c r="E41" s="61"/>
      <c r="F41" s="61"/>
      <c r="G41" s="61"/>
      <c r="H41" s="61"/>
      <c r="I41" s="61"/>
      <c r="J41" s="61"/>
      <c r="K41" s="61"/>
      <c r="L41" s="61"/>
    </row>
    <row r="42" customFormat="false" ht="15" hidden="false" customHeight="true" outlineLevel="0" collapsed="false">
      <c r="B42" s="16" t="s">
        <v>216</v>
      </c>
      <c r="C42" s="62" t="n">
        <f aca="false">(SUM(C29:L29)+M36+C39)/C39</f>
        <v>5.58700493930994</v>
      </c>
      <c r="D42" s="62"/>
      <c r="E42" s="62"/>
      <c r="F42" s="62"/>
      <c r="G42" s="62"/>
      <c r="H42" s="62"/>
      <c r="I42" s="62"/>
      <c r="J42" s="62"/>
      <c r="K42" s="62"/>
      <c r="L42" s="62"/>
    </row>
    <row r="43" customFormat="false" ht="15" hidden="false" customHeight="true" outlineLevel="0" collapsed="false">
      <c r="B43" s="16" t="s">
        <v>217</v>
      </c>
      <c r="C43" s="50" t="n">
        <f aca="false">C24/Assumptions!C5</f>
        <v>0.0315131054977712</v>
      </c>
      <c r="D43" s="50"/>
      <c r="E43" s="50"/>
      <c r="F43" s="50"/>
      <c r="G43" s="50"/>
      <c r="H43" s="50"/>
      <c r="I43" s="50"/>
      <c r="J43" s="50"/>
      <c r="K43" s="50"/>
      <c r="L43" s="50"/>
    </row>
    <row r="44" customFormat="false" ht="15" hidden="false" customHeight="true" outlineLevel="0" collapsed="false">
      <c r="B44" s="16" t="s">
        <v>99</v>
      </c>
      <c r="C44" s="50" t="n">
        <f aca="false">Assumptions!C33</f>
        <v>10</v>
      </c>
      <c r="D44" s="50"/>
      <c r="E44" s="50"/>
      <c r="F44" s="50"/>
      <c r="G44" s="50"/>
      <c r="H44" s="50"/>
      <c r="I44" s="50"/>
      <c r="J44" s="50"/>
      <c r="K44" s="50"/>
      <c r="L44" s="50"/>
    </row>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1" customFormat="false" ht="15" hidden="false" customHeight="true" outlineLevel="0" collapsed="false"/>
    <row r="52" customFormat="false" ht="15" hidden="false" customHeight="true" outlineLevel="0" collapsed="false"/>
    <row r="53" customFormat="false" ht="15" hidden="false" customHeight="true" outlineLevel="0" collapsed="false"/>
    <row r="54" customFormat="false" ht="15" hidden="false" customHeight="true" outlineLevel="0" collapsed="false"/>
    <row r="55" customFormat="false" ht="15" hidden="true" customHeight="true" outlineLevel="0" collapsed="false">
      <c r="C55" s="1" t="n">
        <f aca="false">-Assumptions!C5</f>
        <v>-134600000</v>
      </c>
      <c r="D55" s="63" t="n">
        <f aca="false">C24</f>
        <v>4241664</v>
      </c>
      <c r="E55" s="63" t="n">
        <f aca="false">D24</f>
        <v>4354698.6</v>
      </c>
      <c r="F55" s="63" t="n">
        <f aca="false">E24</f>
        <v>4470698.925</v>
      </c>
      <c r="G55" s="63" t="n">
        <f aca="false">F24</f>
        <v>4589741.915325</v>
      </c>
      <c r="H55" s="63" t="n">
        <f aca="false">G24</f>
        <v>4711906.49075212</v>
      </c>
      <c r="I55" s="63" t="n">
        <f aca="false">H24</f>
        <v>4806144.62056716</v>
      </c>
      <c r="J55" s="63" t="n">
        <f aca="false">I24</f>
        <v>4902267.51297851</v>
      </c>
      <c r="K55" s="63" t="n">
        <f aca="false">J24</f>
        <v>5000312.86323808</v>
      </c>
      <c r="L55" s="63" t="n">
        <f aca="false">K24</f>
        <v>5100319.12050284</v>
      </c>
      <c r="M55" s="64" t="n">
        <f aca="false">L24+M33+M34</f>
        <v>82636050.4329364</v>
      </c>
    </row>
    <row r="56" customFormat="false" ht="15" hidden="true" customHeight="true" outlineLevel="0" collapsed="false">
      <c r="C56" s="1" t="n">
        <f aca="false">-C39</f>
        <v>-53840000</v>
      </c>
      <c r="D56" s="65" t="n">
        <f aca="false">C29</f>
        <v>10338459.9671585</v>
      </c>
      <c r="E56" s="65" t="n">
        <f aca="false">D29</f>
        <v>10451494.5671585</v>
      </c>
      <c r="F56" s="65" t="n">
        <f aca="false">E29</f>
        <v>10567494.8921585</v>
      </c>
      <c r="G56" s="65" t="n">
        <f aca="false">F29</f>
        <v>10686537.8824835</v>
      </c>
      <c r="H56" s="65" t="n">
        <f aca="false">G29</f>
        <v>10808702.4579106</v>
      </c>
      <c r="I56" s="65" t="n">
        <f aca="false">H29</f>
        <v>10902940.5877256</v>
      </c>
      <c r="J56" s="65" t="n">
        <f aca="false">I29</f>
        <v>10999063.480137</v>
      </c>
      <c r="K56" s="65" t="n">
        <f aca="false">J29</f>
        <v>11097108.8303965</v>
      </c>
      <c r="L56" s="65" t="n">
        <f aca="false">K29</f>
        <v>11197115.0876613</v>
      </c>
      <c r="M56" s="66" t="n">
        <f aca="false">L29+M36</f>
        <v>149915428.179657</v>
      </c>
    </row>
    <row r="57" customFormat="false" ht="15" hidden="false" customHeight="true" outlineLevel="0" collapsed="false"/>
    <row r="58" customFormat="false" ht="15" hidden="false" customHeight="true" outlineLevel="0" collapsed="false"/>
    <row r="59" customFormat="false" ht="15" hidden="false" customHeight="true" outlineLevel="0" collapsed="false"/>
    <row r="60" customFormat="false" ht="15" hidden="false" customHeight="true" outlineLevel="0" collapsed="false"/>
    <row r="61" customFormat="false" ht="15" hidden="false" customHeight="true" outlineLevel="0" collapsed="false"/>
    <row r="62" customFormat="false" ht="15" hidden="false" customHeight="true" outlineLevel="0" collapsed="false"/>
    <row r="63" customFormat="false" ht="15" hidden="false" customHeight="true" outlineLevel="0" collapsed="false"/>
    <row r="64" customFormat="false" ht="15" hidden="false" customHeight="true" outlineLevel="0" collapsed="false"/>
    <row r="65" customFormat="false" ht="15" hidden="false" customHeight="true" outlineLevel="0" collapsed="false"/>
    <row r="66" customFormat="false" ht="15" hidden="false" customHeight="true" outlineLevel="0" collapsed="false"/>
    <row r="67" customFormat="false" ht="15" hidden="false" customHeight="true" outlineLevel="0" collapsed="false"/>
    <row r="68" customFormat="false" ht="15" hidden="false" customHeight="true" outlineLevel="0" collapsed="false"/>
    <row r="69" customFormat="false" ht="15" hidden="false" customHeight="true" outlineLevel="0" collapsed="false"/>
    <row r="70" customFormat="false" ht="15" hidden="false" customHeight="true" outlineLevel="0" collapsed="false"/>
    <row r="71" customFormat="false" ht="15" hidden="false" customHeight="true" outlineLevel="0" collapsed="false"/>
    <row r="72" customFormat="false" ht="15" hidden="false" customHeight="true" outlineLevel="0" collapsed="false"/>
    <row r="73" customFormat="false" ht="15" hidden="false" customHeight="true" outlineLevel="0" collapsed="false"/>
    <row r="74" customFormat="false" ht="15" hidden="false" customHeight="true" outlineLevel="0" collapsed="false"/>
    <row r="75" customFormat="false" ht="15" hidden="false" customHeight="true" outlineLevel="0" collapsed="false"/>
    <row r="76" customFormat="false" ht="15" hidden="false" customHeight="true" outlineLevel="0" collapsed="false"/>
    <row r="77" customFormat="false" ht="15" hidden="false" customHeight="true" outlineLevel="0" collapsed="false"/>
    <row r="78" customFormat="false" ht="15" hidden="false" customHeight="true" outlineLevel="0" collapsed="false"/>
    <row r="79" customFormat="false" ht="15" hidden="false" customHeight="true" outlineLevel="0" collapsed="false"/>
  </sheetData>
  <mergeCells count="14">
    <mergeCell ref="B2:M2"/>
    <mergeCell ref="B3:M3"/>
    <mergeCell ref="B8:M8"/>
    <mergeCell ref="B14:M14"/>
    <mergeCell ref="B26:M26"/>
    <mergeCell ref="C27:L27"/>
    <mergeCell ref="B31:M31"/>
    <mergeCell ref="B38:M38"/>
    <mergeCell ref="C39:L39"/>
    <mergeCell ref="C40:L40"/>
    <mergeCell ref="C41:L41"/>
    <mergeCell ref="C42:L42"/>
    <mergeCell ref="C43:L43"/>
    <mergeCell ref="C44:L4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46"/>
    <col collapsed="false" customWidth="true" hidden="false" outlineLevel="0" max="4" min="3" style="1" width="20"/>
    <col collapsed="false" customWidth="true" hidden="false" outlineLevel="0" max="5" min="5" style="1" width="3"/>
  </cols>
  <sheetData>
    <row r="1" customFormat="false" ht="15.75" hidden="false" customHeight="true" outlineLevel="0" collapsed="false"/>
    <row r="2" customFormat="false" ht="30" hidden="false" customHeight="true" outlineLevel="0" collapsed="false">
      <c r="A2" s="2"/>
      <c r="B2" s="13" t="s">
        <v>218</v>
      </c>
      <c r="C2" s="13"/>
      <c r="D2" s="13"/>
      <c r="E2" s="2"/>
    </row>
    <row r="3" customFormat="false" ht="15.75" hidden="false" customHeight="true" outlineLevel="0" collapsed="false">
      <c r="B3" s="14" t="s">
        <v>219</v>
      </c>
      <c r="C3" s="14"/>
      <c r="D3" s="14"/>
    </row>
    <row r="4" customFormat="false" ht="15.75" hidden="false" customHeight="true" outlineLevel="0" collapsed="false"/>
    <row r="5" customFormat="false" ht="15.75" hidden="false" customHeight="true" outlineLevel="0" collapsed="false">
      <c r="B5" s="23"/>
      <c r="C5" s="23" t="s">
        <v>220</v>
      </c>
      <c r="D5" s="23" t="s">
        <v>221</v>
      </c>
    </row>
    <row r="6" customFormat="false" ht="15.75" hidden="false" customHeight="true" outlineLevel="0" collapsed="false">
      <c r="B6" s="15" t="s">
        <v>55</v>
      </c>
      <c r="C6" s="15"/>
      <c r="D6" s="15"/>
    </row>
    <row r="7" customFormat="false" ht="15.75" hidden="false" customHeight="true" outlineLevel="0" collapsed="false">
      <c r="B7" s="16" t="s">
        <v>198</v>
      </c>
      <c r="C7" s="26" t="n">
        <f aca="false">'10-Yr DCF'!C9</f>
        <v>6184500</v>
      </c>
      <c r="D7" s="26" t="n">
        <f aca="false">'10-Yr DCF'!E9</f>
        <v>6497590.3125</v>
      </c>
    </row>
    <row r="8" customFormat="false" ht="15.75" hidden="false" customHeight="true" outlineLevel="0" collapsed="false">
      <c r="B8" s="16" t="s">
        <v>222</v>
      </c>
      <c r="C8" s="44" t="n">
        <f aca="false">'10-Yr DCF'!C10</f>
        <v>-309225</v>
      </c>
      <c r="D8" s="44" t="n">
        <f aca="false">'10-Yr DCF'!E10</f>
        <v>-324879.515625</v>
      </c>
    </row>
    <row r="9" customFormat="false" ht="15.75" hidden="false" customHeight="true" outlineLevel="0" collapsed="false">
      <c r="B9" s="16" t="s">
        <v>199</v>
      </c>
      <c r="C9" s="26" t="n">
        <f aca="false">'10-Yr DCF'!C11</f>
        <v>315000</v>
      </c>
      <c r="D9" s="26" t="n">
        <f aca="false">'10-Yr DCF'!E11</f>
        <v>327726</v>
      </c>
    </row>
    <row r="10" customFormat="false" ht="15.75" hidden="false" customHeight="true" outlineLevel="0" collapsed="false">
      <c r="B10" s="32" t="s">
        <v>158</v>
      </c>
      <c r="C10" s="36" t="n">
        <f aca="false">'10-Yr DCF'!C12</f>
        <v>6190275</v>
      </c>
      <c r="D10" s="36" t="n">
        <f aca="false">'10-Yr DCF'!E12</f>
        <v>6500436.796875</v>
      </c>
    </row>
    <row r="11" customFormat="false" ht="7.5" hidden="false" customHeight="true" outlineLevel="0" collapsed="false"/>
    <row r="12" customFormat="false" ht="15.75" hidden="false" customHeight="true" outlineLevel="0" collapsed="false">
      <c r="B12" s="15" t="s">
        <v>70</v>
      </c>
      <c r="C12" s="15"/>
      <c r="D12" s="15"/>
    </row>
    <row r="13" customFormat="false" ht="15.75" hidden="false" customHeight="true" outlineLevel="0" collapsed="false">
      <c r="B13" s="16" t="s">
        <v>223</v>
      </c>
      <c r="C13" s="44" t="n">
        <f aca="false">'10-Yr DCF'!C22</f>
        <v>-1948611</v>
      </c>
      <c r="D13" s="44" t="n">
        <f aca="false">'10-Yr DCF'!E22</f>
        <v>-2029737.871875</v>
      </c>
    </row>
    <row r="14" customFormat="false" ht="7.5" hidden="false" customHeight="true" outlineLevel="0" collapsed="false"/>
    <row r="15" customFormat="false" ht="15.75" hidden="false" customHeight="true" outlineLevel="0" collapsed="false">
      <c r="B15" s="47" t="s">
        <v>172</v>
      </c>
      <c r="C15" s="48" t="n">
        <f aca="false">'10-Yr DCF'!C24</f>
        <v>4241664</v>
      </c>
      <c r="D15" s="48" t="n">
        <f aca="false">'10-Yr DCF'!E24</f>
        <v>4470698.925</v>
      </c>
    </row>
    <row r="16" customFormat="false" ht="7.5" hidden="false" customHeight="true" outlineLevel="0" collapsed="false"/>
    <row r="17" customFormat="false" ht="15.75" hidden="false" customHeight="true" outlineLevel="0" collapsed="false">
      <c r="B17" s="15" t="s">
        <v>224</v>
      </c>
      <c r="C17" s="15"/>
      <c r="D17" s="15"/>
    </row>
    <row r="18" customFormat="false" ht="15.75" hidden="false" customHeight="true" outlineLevel="0" collapsed="false">
      <c r="B18" s="16" t="s">
        <v>225</v>
      </c>
      <c r="C18" s="50" t="n">
        <f aca="false">Assumptions!C33+0.0025</f>
        <v>10.0025</v>
      </c>
      <c r="D18" s="50" t="n">
        <f aca="false">Assumptions!C33</f>
        <v>10</v>
      </c>
    </row>
    <row r="19" customFormat="false" ht="7.5" hidden="false" customHeight="true" outlineLevel="0" collapsed="false"/>
    <row r="20" customFormat="false" ht="15.75" hidden="false" customHeight="true" outlineLevel="0" collapsed="false">
      <c r="B20" s="47" t="s">
        <v>226</v>
      </c>
      <c r="C20" s="67" t="n">
        <f aca="false">'10-Yr DCF'!C24/C18</f>
        <v>424060.384903774</v>
      </c>
      <c r="D20" s="67" t="n">
        <f aca="false">'10-Yr DCF'!E24/D18</f>
        <v>447069.8925</v>
      </c>
    </row>
    <row r="21" customFormat="false" ht="15.75" hidden="false" customHeight="true" outlineLevel="0" collapsed="false">
      <c r="B21" s="16" t="s">
        <v>227</v>
      </c>
      <c r="C21" s="68" t="n">
        <f aca="false">C20/Assumptions!C6</f>
        <v>2.01933516620845</v>
      </c>
      <c r="D21" s="68" t="n">
        <f aca="false">D20/Assumptions!C6</f>
        <v>2.12890425</v>
      </c>
    </row>
    <row r="22" customFormat="false" ht="7.5" hidden="false" customHeight="true" outlineLevel="0" collapsed="false"/>
    <row r="23" customFormat="false" ht="15.75" hidden="false" customHeight="true" outlineLevel="0" collapsed="false">
      <c r="B23" s="15" t="s">
        <v>228</v>
      </c>
      <c r="C23" s="15"/>
      <c r="D23" s="15"/>
    </row>
    <row r="24" customFormat="false" ht="15.75" hidden="false" customHeight="true" outlineLevel="0" collapsed="false">
      <c r="B24" s="16" t="s">
        <v>48</v>
      </c>
      <c r="C24" s="26" t="n">
        <f aca="false">Assumptions!C5</f>
        <v>134600000</v>
      </c>
      <c r="D24" s="26" t="n">
        <f aca="false">Assumptions!C5</f>
        <v>134600000</v>
      </c>
    </row>
    <row r="25" customFormat="false" ht="15.75" hidden="false" customHeight="true" outlineLevel="0" collapsed="false">
      <c r="B25" s="16" t="s">
        <v>229</v>
      </c>
      <c r="C25" s="44" t="n">
        <f aca="false">Assumptions!C5-C20</f>
        <v>134175939.615096</v>
      </c>
      <c r="D25" s="44" t="n">
        <f aca="false">Assumptions!C5-D20</f>
        <v>134152930.1075</v>
      </c>
    </row>
    <row r="26" customFormat="false" ht="15.75" hidden="false" customHeight="true" outlineLevel="0" collapsed="false">
      <c r="B26" s="16" t="s">
        <v>230</v>
      </c>
    </row>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sheetData>
  <mergeCells count="6">
    <mergeCell ref="B2:D2"/>
    <mergeCell ref="B3:D3"/>
    <mergeCell ref="B6:D6"/>
    <mergeCell ref="B12:D12"/>
    <mergeCell ref="B17:D17"/>
    <mergeCell ref="B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
    <col collapsed="false" customWidth="true" hidden="false" outlineLevel="0" max="2" min="2" style="1" width="22"/>
    <col collapsed="false" customWidth="true" hidden="false" outlineLevel="0" max="11" min="3" style="1" width="13"/>
    <col collapsed="false" customWidth="true" hidden="false" outlineLevel="0" max="12" min="12" style="1" width="3"/>
  </cols>
  <sheetData>
    <row r="1" customFormat="false" ht="15.75" hidden="false" customHeight="true" outlineLevel="0" collapsed="false"/>
    <row r="2" customFormat="false" ht="30" hidden="false" customHeight="true" outlineLevel="0" collapsed="false">
      <c r="A2" s="2"/>
      <c r="B2" s="13" t="s">
        <v>231</v>
      </c>
      <c r="C2" s="13"/>
      <c r="D2" s="13"/>
      <c r="E2" s="13"/>
      <c r="F2" s="13"/>
      <c r="G2" s="13"/>
      <c r="H2" s="13"/>
      <c r="I2" s="13"/>
      <c r="J2" s="13"/>
      <c r="K2" s="13"/>
      <c r="L2" s="2"/>
    </row>
    <row r="3" customFormat="false" ht="15.75" hidden="false" customHeight="true" outlineLevel="0" collapsed="false">
      <c r="B3" s="14" t="s">
        <v>232</v>
      </c>
      <c r="C3" s="14"/>
      <c r="D3" s="14"/>
      <c r="E3" s="14"/>
      <c r="F3" s="14"/>
      <c r="G3" s="14"/>
      <c r="H3" s="14"/>
      <c r="I3" s="14"/>
      <c r="J3" s="14"/>
      <c r="K3" s="14"/>
    </row>
    <row r="4" customFormat="false" ht="15.75" hidden="false" customHeight="true" outlineLevel="0" collapsed="false"/>
    <row r="5" customFormat="false" ht="15.75" hidden="false" customHeight="true" outlineLevel="0" collapsed="false">
      <c r="B5" s="15" t="s">
        <v>233</v>
      </c>
      <c r="C5" s="15"/>
      <c r="D5" s="15"/>
      <c r="E5" s="15"/>
      <c r="F5" s="15"/>
      <c r="G5" s="15"/>
      <c r="H5" s="15"/>
      <c r="I5" s="15"/>
      <c r="J5" s="15"/>
      <c r="K5" s="15"/>
    </row>
    <row r="6" customFormat="false" ht="15.75" hidden="false" customHeight="true" outlineLevel="0" collapsed="false">
      <c r="B6" s="23" t="s">
        <v>234</v>
      </c>
      <c r="C6" s="23" t="s">
        <v>235</v>
      </c>
      <c r="D6" s="23" t="s">
        <v>236</v>
      </c>
      <c r="E6" s="23" t="s">
        <v>237</v>
      </c>
      <c r="F6" s="23" t="s">
        <v>32</v>
      </c>
      <c r="G6" s="23" t="s">
        <v>238</v>
      </c>
      <c r="H6" s="23" t="s">
        <v>239</v>
      </c>
      <c r="I6" s="23" t="s">
        <v>240</v>
      </c>
    </row>
    <row r="7" customFormat="false" ht="15.75" hidden="false" customHeight="true" outlineLevel="0" collapsed="false">
      <c r="B7" s="69" t="s">
        <v>241</v>
      </c>
      <c r="C7" s="70" t="n">
        <f aca="false">('10-Yr DCF'!C24*0.9)/0.05/1000000</f>
        <v>76.349952</v>
      </c>
      <c r="D7" s="70" t="n">
        <f aca="false">('10-Yr DCF'!C24*0.9)/0.055/1000000</f>
        <v>69.4090472727273</v>
      </c>
      <c r="E7" s="70" t="n">
        <f aca="false">('10-Yr DCF'!C24*0.9)/0.06/1000000</f>
        <v>63.62496</v>
      </c>
      <c r="F7" s="70" t="n">
        <f aca="false">('10-Yr DCF'!C24*0.9)/0.065/1000000</f>
        <v>58.7307323076923</v>
      </c>
      <c r="G7" s="70" t="n">
        <f aca="false">('10-Yr DCF'!C24*0.9)/0.07/1000000</f>
        <v>54.53568</v>
      </c>
      <c r="H7" s="70" t="n">
        <f aca="false">('10-Yr DCF'!C24*0.9)/0.075/1000000</f>
        <v>50.899968</v>
      </c>
      <c r="I7" s="70" t="n">
        <f aca="false">('10-Yr DCF'!C24*0.9)/0.08/1000000</f>
        <v>47.71872</v>
      </c>
    </row>
    <row r="8" customFormat="false" ht="15.75" hidden="false" customHeight="true" outlineLevel="0" collapsed="false">
      <c r="B8" s="69" t="s">
        <v>242</v>
      </c>
      <c r="C8" s="70" t="n">
        <f aca="false">('10-Yr DCF'!C24*0.95)/0.05/1000000</f>
        <v>80.591616</v>
      </c>
      <c r="D8" s="70" t="n">
        <f aca="false">('10-Yr DCF'!C24*0.95)/0.055/1000000</f>
        <v>73.2651054545455</v>
      </c>
      <c r="E8" s="70" t="n">
        <f aca="false">('10-Yr DCF'!C24*0.95)/0.06/1000000</f>
        <v>67.15968</v>
      </c>
      <c r="F8" s="70" t="n">
        <f aca="false">('10-Yr DCF'!C24*0.95)/0.065/1000000</f>
        <v>61.9935507692308</v>
      </c>
      <c r="G8" s="70" t="n">
        <f aca="false">('10-Yr DCF'!C24*0.95)/0.07/1000000</f>
        <v>57.56544</v>
      </c>
      <c r="H8" s="70" t="n">
        <f aca="false">('10-Yr DCF'!C24*0.95)/0.075/1000000</f>
        <v>53.727744</v>
      </c>
      <c r="I8" s="70" t="n">
        <f aca="false">('10-Yr DCF'!C24*0.95)/0.08/1000000</f>
        <v>50.36976</v>
      </c>
    </row>
    <row r="9" customFormat="false" ht="15.75" hidden="false" customHeight="true" outlineLevel="0" collapsed="false">
      <c r="B9" s="9" t="s">
        <v>243</v>
      </c>
      <c r="C9" s="71" t="n">
        <f aca="false">('10-Yr DCF'!C24*1)/0.05/1000000</f>
        <v>84.83328</v>
      </c>
      <c r="D9" s="71" t="n">
        <f aca="false">('10-Yr DCF'!C24*1)/0.055/1000000</f>
        <v>77.1211636363637</v>
      </c>
      <c r="E9" s="71" t="n">
        <f aca="false">('10-Yr DCF'!C24*1)/0.06/1000000</f>
        <v>70.6944</v>
      </c>
      <c r="F9" s="72" t="n">
        <f aca="false">('10-Yr DCF'!C24*1)/0.065/1000000</f>
        <v>65.2563692307692</v>
      </c>
      <c r="G9" s="71" t="n">
        <f aca="false">('10-Yr DCF'!C24*1)/0.07/1000000</f>
        <v>60.5952</v>
      </c>
      <c r="H9" s="71" t="n">
        <f aca="false">('10-Yr DCF'!C24*1)/0.075/1000000</f>
        <v>56.55552</v>
      </c>
      <c r="I9" s="71" t="n">
        <f aca="false">('10-Yr DCF'!C24*1)/0.08/1000000</f>
        <v>53.0208</v>
      </c>
    </row>
    <row r="10" customFormat="false" ht="15.75" hidden="false" customHeight="true" outlineLevel="0" collapsed="false">
      <c r="B10" s="69" t="s">
        <v>244</v>
      </c>
      <c r="C10" s="70" t="n">
        <f aca="false">('10-Yr DCF'!C24*1.05)/0.05/1000000</f>
        <v>89.074944</v>
      </c>
      <c r="D10" s="70" t="n">
        <f aca="false">('10-Yr DCF'!C24*1.05)/0.055/1000000</f>
        <v>80.9772218181818</v>
      </c>
      <c r="E10" s="70" t="n">
        <f aca="false">('10-Yr DCF'!C24*1.05)/0.06/1000000</f>
        <v>74.22912</v>
      </c>
      <c r="F10" s="70" t="n">
        <f aca="false">('10-Yr DCF'!C24*1.05)/0.065/1000000</f>
        <v>68.5191876923077</v>
      </c>
      <c r="G10" s="70" t="n">
        <f aca="false">('10-Yr DCF'!C24*1.05)/0.07/1000000</f>
        <v>63.62496</v>
      </c>
      <c r="H10" s="70" t="n">
        <f aca="false">('10-Yr DCF'!C24*1.05)/0.075/1000000</f>
        <v>59.383296</v>
      </c>
      <c r="I10" s="70" t="n">
        <f aca="false">('10-Yr DCF'!C24*1.05)/0.08/1000000</f>
        <v>55.67184</v>
      </c>
    </row>
    <row r="11" customFormat="false" ht="15.75" hidden="false" customHeight="true" outlineLevel="0" collapsed="false">
      <c r="B11" s="69" t="s">
        <v>245</v>
      </c>
      <c r="C11" s="70" t="n">
        <f aca="false">('10-Yr DCF'!C24*1.1)/0.05/1000000</f>
        <v>93.316608</v>
      </c>
      <c r="D11" s="70" t="n">
        <f aca="false">('10-Yr DCF'!C24*1.1)/0.055/1000000</f>
        <v>84.83328</v>
      </c>
      <c r="E11" s="70" t="n">
        <f aca="false">('10-Yr DCF'!C24*1.1)/0.06/1000000</f>
        <v>77.76384</v>
      </c>
      <c r="F11" s="70" t="n">
        <f aca="false">('10-Yr DCF'!C24*1.1)/0.065/1000000</f>
        <v>71.7820061538462</v>
      </c>
      <c r="G11" s="70" t="n">
        <f aca="false">('10-Yr DCF'!C24*1.1)/0.07/1000000</f>
        <v>66.65472</v>
      </c>
      <c r="H11" s="70" t="n">
        <f aca="false">('10-Yr DCF'!C24*1.1)/0.075/1000000</f>
        <v>62.211072</v>
      </c>
      <c r="I11" s="70" t="n">
        <f aca="false">('10-Yr DCF'!C24*1.1)/0.08/1000000</f>
        <v>58.32288</v>
      </c>
    </row>
    <row r="12" customFormat="false" ht="15.75" hidden="false" customHeight="true" outlineLevel="0" collapsed="false"/>
    <row r="13" customFormat="false" ht="15.75" hidden="false" customHeight="true" outlineLevel="0" collapsed="false"/>
    <row r="14" customFormat="false" ht="15.75" hidden="false" customHeight="true" outlineLevel="0" collapsed="false">
      <c r="B14" s="15" t="s">
        <v>246</v>
      </c>
      <c r="C14" s="15"/>
      <c r="D14" s="15"/>
      <c r="E14" s="15"/>
      <c r="F14" s="15"/>
      <c r="G14" s="15"/>
      <c r="H14" s="15"/>
      <c r="I14" s="15"/>
      <c r="J14" s="15"/>
      <c r="K14" s="15"/>
    </row>
    <row r="15" customFormat="false" ht="15.75" hidden="false" customHeight="true" outlineLevel="0" collapsed="false">
      <c r="B15" s="23" t="s">
        <v>247</v>
      </c>
      <c r="C15" s="23" t="s">
        <v>248</v>
      </c>
      <c r="D15" s="23" t="s">
        <v>249</v>
      </c>
      <c r="E15" s="23" t="s">
        <v>250</v>
      </c>
      <c r="F15" s="23" t="s">
        <v>251</v>
      </c>
      <c r="G15" s="23" t="s">
        <v>252</v>
      </c>
      <c r="H15" s="23" t="s">
        <v>253</v>
      </c>
      <c r="I15" s="23" t="s">
        <v>254</v>
      </c>
    </row>
    <row r="16" customFormat="false" ht="15.75" hidden="false" customHeight="true" outlineLevel="0" collapsed="false">
      <c r="B16" s="69" t="s">
        <v>241</v>
      </c>
      <c r="C16" s="50" t="n">
        <f aca="false">('10-Yr DCF'!C24*0.9)/110000000</f>
        <v>0.0347045236363636</v>
      </c>
      <c r="D16" s="50" t="n">
        <f aca="false">('10-Yr DCF'!C24*0.9)/120000000</f>
        <v>0.03181248</v>
      </c>
      <c r="E16" s="50" t="n">
        <f aca="false">('10-Yr DCF'!C24*0.9)/134600000</f>
        <v>0.0283617949479941</v>
      </c>
      <c r="F16" s="50" t="n">
        <f aca="false">('10-Yr DCF'!C24*0.9)/145000000</f>
        <v>0.0263275696551724</v>
      </c>
      <c r="G16" s="50" t="n">
        <f aca="false">('10-Yr DCF'!C24*0.9)/155000000</f>
        <v>0.0246290167741936</v>
      </c>
      <c r="H16" s="50" t="n">
        <f aca="false">('10-Yr DCF'!C24*0.9)/165000000</f>
        <v>0.0231363490909091</v>
      </c>
      <c r="I16" s="50" t="n">
        <f aca="false">('10-Yr DCF'!C24*0.9)/180000000</f>
        <v>0.02120832</v>
      </c>
    </row>
    <row r="17" customFormat="false" ht="15.75" hidden="false" customHeight="true" outlineLevel="0" collapsed="false">
      <c r="B17" s="69" t="s">
        <v>242</v>
      </c>
      <c r="C17" s="50" t="n">
        <f aca="false">('10-Yr DCF'!C24*0.95)/110000000</f>
        <v>0.0366325527272727</v>
      </c>
      <c r="D17" s="50" t="n">
        <f aca="false">('10-Yr DCF'!C24*0.95)/120000000</f>
        <v>0.03357984</v>
      </c>
      <c r="E17" s="50" t="n">
        <f aca="false">('10-Yr DCF'!C24*0.95)/134600000</f>
        <v>0.0299374502228826</v>
      </c>
      <c r="F17" s="50" t="n">
        <f aca="false">('10-Yr DCF'!C24*0.95)/145000000</f>
        <v>0.0277902124137931</v>
      </c>
      <c r="G17" s="50" t="n">
        <f aca="false">('10-Yr DCF'!C24*0.95)/155000000</f>
        <v>0.025997295483871</v>
      </c>
      <c r="H17" s="50" t="n">
        <f aca="false">('10-Yr DCF'!C24*0.95)/165000000</f>
        <v>0.0244217018181818</v>
      </c>
      <c r="I17" s="50" t="n">
        <f aca="false">('10-Yr DCF'!C24*0.95)/180000000</f>
        <v>0.02238656</v>
      </c>
    </row>
    <row r="18" customFormat="false" ht="15.75" hidden="false" customHeight="true" outlineLevel="0" collapsed="false">
      <c r="B18" s="9" t="s">
        <v>243</v>
      </c>
      <c r="C18" s="73" t="n">
        <f aca="false">('10-Yr DCF'!C24*1)/110000000</f>
        <v>0.0385605818181818</v>
      </c>
      <c r="D18" s="73" t="n">
        <f aca="false">('10-Yr DCF'!C24*1)/120000000</f>
        <v>0.0353472</v>
      </c>
      <c r="E18" s="74" t="n">
        <f aca="false">('10-Yr DCF'!C24*1)/134600000</f>
        <v>0.0315131054977712</v>
      </c>
      <c r="F18" s="73" t="n">
        <f aca="false">('10-Yr DCF'!C24*1)/145000000</f>
        <v>0.0292528551724138</v>
      </c>
      <c r="G18" s="73" t="n">
        <f aca="false">('10-Yr DCF'!C24*1)/155000000</f>
        <v>0.0273655741935484</v>
      </c>
      <c r="H18" s="73" t="n">
        <f aca="false">('10-Yr DCF'!C24*1)/165000000</f>
        <v>0.0257070545454545</v>
      </c>
      <c r="I18" s="73" t="n">
        <f aca="false">('10-Yr DCF'!C24*1)/180000000</f>
        <v>0.0235648</v>
      </c>
    </row>
    <row r="19" customFormat="false" ht="15.75" hidden="false" customHeight="true" outlineLevel="0" collapsed="false">
      <c r="B19" s="69" t="s">
        <v>244</v>
      </c>
      <c r="C19" s="50" t="n">
        <f aca="false">('10-Yr DCF'!C24*1.05)/110000000</f>
        <v>0.0404886109090909</v>
      </c>
      <c r="D19" s="50" t="n">
        <f aca="false">('10-Yr DCF'!C24*1.05)/120000000</f>
        <v>0.03711456</v>
      </c>
      <c r="E19" s="50" t="n">
        <f aca="false">('10-Yr DCF'!C24*1.05)/134600000</f>
        <v>0.0330887607726597</v>
      </c>
      <c r="F19" s="50" t="n">
        <f aca="false">('10-Yr DCF'!C24*1.05)/145000000</f>
        <v>0.0307154979310345</v>
      </c>
      <c r="G19" s="50" t="n">
        <f aca="false">('10-Yr DCF'!C24*1.05)/155000000</f>
        <v>0.0287338529032258</v>
      </c>
      <c r="H19" s="50" t="n">
        <f aca="false">('10-Yr DCF'!C24*1.05)/165000000</f>
        <v>0.0269924072727273</v>
      </c>
      <c r="I19" s="50" t="n">
        <f aca="false">('10-Yr DCF'!C24*1.05)/180000000</f>
        <v>0.02474304</v>
      </c>
    </row>
    <row r="20" customFormat="false" ht="15.75" hidden="false" customHeight="true" outlineLevel="0" collapsed="false">
      <c r="B20" s="69" t="s">
        <v>245</v>
      </c>
      <c r="C20" s="50" t="n">
        <f aca="false">('10-Yr DCF'!C24*1.1)/110000000</f>
        <v>0.04241664</v>
      </c>
      <c r="D20" s="50" t="n">
        <f aca="false">('10-Yr DCF'!C24*1.1)/120000000</f>
        <v>0.03888192</v>
      </c>
      <c r="E20" s="50" t="n">
        <f aca="false">('10-Yr DCF'!C24*1.1)/134600000</f>
        <v>0.0346644160475483</v>
      </c>
      <c r="F20" s="50" t="n">
        <f aca="false">('10-Yr DCF'!C24*1.1)/145000000</f>
        <v>0.0321781406896552</v>
      </c>
      <c r="G20" s="50" t="n">
        <f aca="false">('10-Yr DCF'!C24*1.1)/155000000</f>
        <v>0.0301021316129032</v>
      </c>
      <c r="H20" s="50" t="n">
        <f aca="false">('10-Yr DCF'!C24*1.1)/165000000</f>
        <v>0.02827776</v>
      </c>
      <c r="I20" s="50" t="n">
        <f aca="false">('10-Yr DCF'!C24*1.1)/180000000</f>
        <v>0.02592128</v>
      </c>
    </row>
    <row r="21" customFormat="false" ht="15.75" hidden="false" customHeight="true" outlineLevel="0" collapsed="false"/>
    <row r="22" customFormat="false" ht="15.75" hidden="false" customHeight="true" outlineLevel="0" collapsed="false"/>
    <row r="23" customFormat="false" ht="15.75" hidden="false" customHeight="true" outlineLevel="0" collapsed="false">
      <c r="B23" s="15" t="s">
        <v>255</v>
      </c>
      <c r="C23" s="15"/>
      <c r="D23" s="15"/>
      <c r="E23" s="15"/>
      <c r="F23" s="15"/>
      <c r="G23" s="15"/>
      <c r="H23" s="15"/>
      <c r="I23" s="15"/>
      <c r="J23" s="15"/>
      <c r="K23" s="15"/>
    </row>
    <row r="24" customFormat="false" ht="15.75" hidden="false" customHeight="true" outlineLevel="0" collapsed="false">
      <c r="B24" s="23" t="s">
        <v>256</v>
      </c>
      <c r="C24" s="23" t="s">
        <v>236</v>
      </c>
      <c r="D24" s="23" t="s">
        <v>237</v>
      </c>
      <c r="E24" s="23" t="s">
        <v>257</v>
      </c>
      <c r="F24" s="23" t="s">
        <v>258</v>
      </c>
      <c r="G24" s="23" t="s">
        <v>259</v>
      </c>
      <c r="H24" s="23" t="s">
        <v>260</v>
      </c>
      <c r="I24" s="23" t="s">
        <v>261</v>
      </c>
    </row>
    <row r="25" customFormat="false" ht="15.75" hidden="false" customHeight="true" outlineLevel="0" collapsed="false">
      <c r="B25" s="69" t="s">
        <v>262</v>
      </c>
      <c r="C25" s="50" t="n">
        <v>0.0144</v>
      </c>
      <c r="D25" s="50" t="n">
        <v>0.0077</v>
      </c>
      <c r="E25" s="50" t="n">
        <v>0.0046</v>
      </c>
      <c r="F25" s="50" t="n">
        <v>-0.0011</v>
      </c>
      <c r="G25" s="50" t="n">
        <v>-0.0063</v>
      </c>
      <c r="H25" s="50" t="n">
        <v>-0.0111</v>
      </c>
      <c r="I25" s="50" t="n">
        <v>-0.0155</v>
      </c>
    </row>
    <row r="26" customFormat="false" ht="15.75" hidden="false" customHeight="true" outlineLevel="0" collapsed="false">
      <c r="B26" s="69" t="s">
        <v>263</v>
      </c>
      <c r="C26" s="50" t="n">
        <v>0.0172</v>
      </c>
      <c r="D26" s="50" t="n">
        <v>0.0105</v>
      </c>
      <c r="E26" s="50" t="n">
        <v>0.0074</v>
      </c>
      <c r="F26" s="50" t="n">
        <v>0.0016</v>
      </c>
      <c r="G26" s="50" t="n">
        <v>-0.0036</v>
      </c>
      <c r="H26" s="50" t="n">
        <v>-0.0084</v>
      </c>
      <c r="I26" s="50" t="n">
        <v>-0.0128</v>
      </c>
    </row>
    <row r="27" customFormat="false" ht="15.75" hidden="false" customHeight="true" outlineLevel="0" collapsed="false">
      <c r="B27" s="69" t="s">
        <v>264</v>
      </c>
      <c r="C27" s="50" t="n">
        <v>0.0199</v>
      </c>
      <c r="D27" s="50" t="n">
        <v>0.0132</v>
      </c>
      <c r="E27" s="50" t="n">
        <v>0.0101</v>
      </c>
      <c r="F27" s="50" t="n">
        <v>0.0044</v>
      </c>
      <c r="G27" s="50" t="n">
        <v>-0.0009</v>
      </c>
      <c r="H27" s="50" t="n">
        <v>-0.0056</v>
      </c>
      <c r="I27" s="50" t="n">
        <v>-0.01</v>
      </c>
    </row>
    <row r="28" customFormat="false" ht="15.75" hidden="false" customHeight="true" outlineLevel="0" collapsed="false">
      <c r="B28" s="9" t="s">
        <v>265</v>
      </c>
      <c r="C28" s="73" t="n">
        <v>0.0227</v>
      </c>
      <c r="D28" s="73" t="n">
        <v>0.016</v>
      </c>
      <c r="E28" s="73" t="n">
        <v>0.0129</v>
      </c>
      <c r="F28" s="74" t="n">
        <v>0.0071</v>
      </c>
      <c r="G28" s="73" t="n">
        <v>0.0019</v>
      </c>
      <c r="H28" s="73" t="n">
        <v>-0.0029</v>
      </c>
      <c r="I28" s="73" t="n">
        <v>-0.0073</v>
      </c>
    </row>
    <row r="29" customFormat="false" ht="15.75" hidden="false" customHeight="true" outlineLevel="0" collapsed="false">
      <c r="B29" s="69" t="s">
        <v>266</v>
      </c>
      <c r="C29" s="50" t="n">
        <v>0.0255</v>
      </c>
      <c r="D29" s="50" t="n">
        <v>0.0187</v>
      </c>
      <c r="E29" s="50" t="n">
        <v>0.0156</v>
      </c>
      <c r="F29" s="50" t="n">
        <v>0.0099</v>
      </c>
      <c r="G29" s="50" t="n">
        <v>0.0046</v>
      </c>
      <c r="H29" s="50" t="n">
        <v>-0.0002</v>
      </c>
      <c r="I29" s="50" t="n">
        <v>-0.0046</v>
      </c>
    </row>
    <row r="30" customFormat="false" ht="15.75" hidden="false" customHeight="true" outlineLevel="0" collapsed="false"/>
    <row r="31" customFormat="false" ht="15.75" hidden="false" customHeight="true" outlineLevel="0" collapsed="false">
      <c r="B31" s="14" t="s">
        <v>267</v>
      </c>
      <c r="C31" s="14"/>
      <c r="D31" s="14"/>
      <c r="E31" s="14"/>
      <c r="F31" s="14"/>
      <c r="G31" s="14"/>
      <c r="H31" s="14"/>
      <c r="I31" s="14"/>
      <c r="J31" s="14"/>
      <c r="K31" s="14"/>
    </row>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sheetData>
  <mergeCells count="6">
    <mergeCell ref="B2:K2"/>
    <mergeCell ref="B3:K3"/>
    <mergeCell ref="B5:K5"/>
    <mergeCell ref="B14:K14"/>
    <mergeCell ref="B23:K23"/>
    <mergeCell ref="B31:K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2026-03-05T02:27:06Z</dcterms:created>
  <dc:creator>openpyxl</dc:creator>
  <dc:description/>
  <dc:language>en-US</dc:language>
  <cp:lastModifiedBy/>
  <dcterms:modified xsi:type="dcterms:W3CDTF">2026-03-05T02:28:06Z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